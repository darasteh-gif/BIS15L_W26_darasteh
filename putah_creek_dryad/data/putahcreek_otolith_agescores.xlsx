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te.willmes\Dropbox\NINA\Research\Putah_creek\putah_creek_dryad\data\"/>
    </mc:Choice>
  </mc:AlternateContent>
  <xr:revisionPtr revIDLastSave="0" documentId="13_ncr:1_{C7EA66E4-7FCA-415F-9135-BC1A978F612C}" xr6:coauthVersionLast="47" xr6:coauthVersionMax="47" xr10:uidLastSave="{00000000-0000-0000-0000-000000000000}"/>
  <bookViews>
    <workbookView xWindow="-108" yWindow="-108" windowWidth="23256" windowHeight="12576" xr2:uid="{04754621-A254-F549-9E1E-E7C7FC23B43E}"/>
  </bookViews>
  <sheets>
    <sheet name="readme" sheetId="2" r:id="rId1"/>
    <sheet name="ages" sheetId="1" r:id="rId2"/>
  </sheets>
  <definedNames>
    <definedName name="_xlnm._FilterDatabase" localSheetId="1" hidden="1">ages!$A$1:$J$225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1" i="1" l="1"/>
  <c r="J201" i="1"/>
  <c r="J196" i="1"/>
  <c r="J184" i="1"/>
  <c r="J183" i="1"/>
  <c r="J179" i="1"/>
  <c r="J176" i="1"/>
  <c r="J163" i="1"/>
  <c r="J137" i="1"/>
  <c r="J135" i="1"/>
  <c r="J104" i="1"/>
  <c r="J99" i="1"/>
  <c r="J97" i="1"/>
  <c r="J96" i="1"/>
  <c r="J88" i="1"/>
  <c r="J83" i="1"/>
  <c r="J79" i="1"/>
  <c r="J70" i="1"/>
  <c r="J66" i="1"/>
  <c r="J61" i="1"/>
  <c r="J44" i="1"/>
  <c r="J37" i="1"/>
  <c r="J26" i="1"/>
  <c r="J24" i="1"/>
  <c r="J19" i="1"/>
  <c r="J16" i="1"/>
  <c r="J4" i="1"/>
  <c r="F225" i="1"/>
  <c r="F224" i="1"/>
  <c r="F223" i="1"/>
  <c r="F222" i="1"/>
  <c r="F219" i="1"/>
  <c r="F216" i="1"/>
  <c r="F214" i="1"/>
  <c r="F213" i="1"/>
  <c r="F212" i="1"/>
  <c r="F211" i="1"/>
  <c r="F209" i="1"/>
  <c r="F208" i="1"/>
  <c r="F206" i="1"/>
  <c r="F205" i="1"/>
  <c r="F204" i="1"/>
  <c r="F201" i="1"/>
  <c r="F199" i="1"/>
  <c r="F198" i="1"/>
  <c r="F196" i="1"/>
  <c r="F194" i="1"/>
  <c r="F193" i="1"/>
  <c r="F189" i="1"/>
  <c r="F188" i="1"/>
  <c r="F184" i="1"/>
  <c r="F183" i="1"/>
  <c r="F180" i="1"/>
  <c r="F179" i="1"/>
  <c r="F176" i="1"/>
  <c r="F175" i="1"/>
  <c r="F174" i="1"/>
  <c r="F170" i="1"/>
  <c r="F169" i="1"/>
  <c r="F168" i="1"/>
  <c r="F166" i="1"/>
  <c r="F165" i="1"/>
  <c r="F163" i="1"/>
  <c r="F162" i="1"/>
  <c r="F161" i="1"/>
  <c r="F160" i="1"/>
  <c r="F159" i="1"/>
  <c r="F158" i="1"/>
  <c r="F156" i="1"/>
  <c r="F153" i="1"/>
  <c r="F150" i="1"/>
  <c r="F149" i="1"/>
  <c r="F148" i="1"/>
  <c r="F147" i="1"/>
  <c r="F146" i="1"/>
  <c r="F143" i="1"/>
  <c r="F142" i="1"/>
  <c r="F141" i="1"/>
  <c r="F140" i="1"/>
  <c r="F139" i="1"/>
  <c r="F137" i="1"/>
  <c r="F136" i="1"/>
  <c r="F135" i="1"/>
  <c r="F134" i="1"/>
  <c r="F133" i="1"/>
  <c r="F132" i="1"/>
  <c r="F130" i="1"/>
  <c r="F126" i="1"/>
  <c r="F124" i="1"/>
  <c r="F123" i="1"/>
  <c r="F122" i="1"/>
  <c r="F121" i="1"/>
  <c r="F119" i="1"/>
  <c r="F116" i="1"/>
  <c r="F115" i="1"/>
  <c r="F114" i="1"/>
  <c r="F111" i="1"/>
  <c r="F110" i="1"/>
  <c r="F109" i="1"/>
  <c r="F108" i="1"/>
  <c r="F105" i="1"/>
  <c r="F104" i="1"/>
  <c r="F103" i="1"/>
  <c r="F102" i="1"/>
  <c r="F101" i="1"/>
  <c r="F100" i="1"/>
  <c r="F99" i="1"/>
  <c r="F98" i="1"/>
  <c r="F97" i="1"/>
  <c r="F96" i="1"/>
  <c r="F95" i="1"/>
  <c r="F93" i="1"/>
  <c r="F91" i="1"/>
  <c r="F90" i="1"/>
  <c r="F89" i="1"/>
  <c r="F88" i="1"/>
  <c r="F87" i="1"/>
  <c r="F85" i="1"/>
  <c r="F84" i="1"/>
  <c r="F83" i="1"/>
  <c r="F80" i="1"/>
  <c r="F79" i="1"/>
  <c r="F77" i="1"/>
  <c r="F75" i="1"/>
  <c r="F74" i="1"/>
  <c r="F70" i="1"/>
  <c r="F69" i="1"/>
  <c r="F66" i="1"/>
  <c r="F65" i="1"/>
  <c r="F63" i="1"/>
  <c r="F62" i="1"/>
  <c r="F61" i="1"/>
  <c r="F57" i="1"/>
  <c r="F56" i="1"/>
  <c r="F53" i="1"/>
  <c r="F51" i="1"/>
  <c r="F50" i="1"/>
  <c r="F49" i="1"/>
  <c r="F47" i="1"/>
  <c r="F45" i="1"/>
  <c r="F44" i="1"/>
  <c r="F42" i="1"/>
  <c r="F41" i="1"/>
  <c r="F40" i="1"/>
  <c r="F39" i="1"/>
  <c r="F38" i="1"/>
  <c r="F37" i="1"/>
  <c r="F34" i="1"/>
  <c r="F33" i="1"/>
  <c r="F31" i="1"/>
  <c r="F30" i="1"/>
  <c r="F29" i="1"/>
  <c r="F26" i="1"/>
  <c r="F25" i="1"/>
  <c r="F24" i="1"/>
  <c r="F21" i="1"/>
  <c r="F20" i="1"/>
  <c r="F19" i="1"/>
  <c r="F16" i="1"/>
  <c r="F15" i="1"/>
  <c r="F13" i="1"/>
  <c r="F12" i="1"/>
  <c r="F8" i="1"/>
  <c r="F7" i="1"/>
  <c r="F5" i="1"/>
  <c r="F4" i="1"/>
  <c r="F3" i="1"/>
  <c r="F2" i="1"/>
</calcChain>
</file>

<file path=xl/sharedStrings.xml><?xml version="1.0" encoding="utf-8"?>
<sst xmlns="http://schemas.openxmlformats.org/spreadsheetml/2006/main" count="483" uniqueCount="472">
  <si>
    <t>sample_id</t>
  </si>
  <si>
    <t>petro_no</t>
  </si>
  <si>
    <t>Year</t>
  </si>
  <si>
    <t>lgh_age_est_1</t>
  </si>
  <si>
    <t>gw_age_est_1</t>
  </si>
  <si>
    <t>match_1</t>
  </si>
  <si>
    <t>ke_age_est_1</t>
  </si>
  <si>
    <t>lgh_age_est_2</t>
  </si>
  <si>
    <t>gw_age_est_2</t>
  </si>
  <si>
    <t>match_2</t>
  </si>
  <si>
    <t>final_age</t>
  </si>
  <si>
    <t>PC_2021_001</t>
  </si>
  <si>
    <t>PCAA1</t>
  </si>
  <si>
    <t>PC_2021_002</t>
  </si>
  <si>
    <t>PCAA2</t>
  </si>
  <si>
    <t>PC_2021_003</t>
  </si>
  <si>
    <t>PCAA3</t>
  </si>
  <si>
    <t>PC_2021_004</t>
  </si>
  <si>
    <t>PCAA4</t>
  </si>
  <si>
    <t>PC_2021_005</t>
  </si>
  <si>
    <t>PCAA5</t>
  </si>
  <si>
    <t>PC_2021_006</t>
  </si>
  <si>
    <t>PCAA6</t>
  </si>
  <si>
    <t>PC_2021_008</t>
  </si>
  <si>
    <t>PCAB1</t>
  </si>
  <si>
    <t>PC_2021_007</t>
  </si>
  <si>
    <t>PCAB2</t>
  </si>
  <si>
    <t>PC_2021_009</t>
  </si>
  <si>
    <t>PCAB3</t>
  </si>
  <si>
    <t>PC_2021_010</t>
  </si>
  <si>
    <t>PCAB4</t>
  </si>
  <si>
    <t>PC_2021_011</t>
  </si>
  <si>
    <t>PCAB5</t>
  </si>
  <si>
    <t>PC_2021_012</t>
  </si>
  <si>
    <t>PCAB6</t>
  </si>
  <si>
    <t>PC_2021_013</t>
  </si>
  <si>
    <t>PCAC1</t>
  </si>
  <si>
    <t>PC_2021_014</t>
  </si>
  <si>
    <t>PCAC2</t>
  </si>
  <si>
    <t>PC_2021_017</t>
  </si>
  <si>
    <t>PCAC3</t>
  </si>
  <si>
    <t>PC_2021_019</t>
  </si>
  <si>
    <t>PCAC4</t>
  </si>
  <si>
    <t>PC_2021_020</t>
  </si>
  <si>
    <t>PCAC5</t>
  </si>
  <si>
    <t>PC_2021_021</t>
  </si>
  <si>
    <t>PCAC6</t>
  </si>
  <si>
    <t>PC_2021_022</t>
  </si>
  <si>
    <t>PCAD1</t>
  </si>
  <si>
    <t>PC_2021_023</t>
  </si>
  <si>
    <t>PCAD2</t>
  </si>
  <si>
    <t>PC_2021_024</t>
  </si>
  <si>
    <t>PCAD3</t>
  </si>
  <si>
    <t>PC_2021_025</t>
  </si>
  <si>
    <t>PCAD4</t>
  </si>
  <si>
    <t>PC_2021_026</t>
  </si>
  <si>
    <t>PCAD5</t>
  </si>
  <si>
    <t>PC_2021_027</t>
  </si>
  <si>
    <t>PCAD6</t>
  </si>
  <si>
    <t>PC_2021_028</t>
  </si>
  <si>
    <t>PCAE1</t>
  </si>
  <si>
    <t>PC_2021_029</t>
  </si>
  <si>
    <t>PCAE2</t>
  </si>
  <si>
    <t>PC_2021_030</t>
  </si>
  <si>
    <t>PCAE3</t>
  </si>
  <si>
    <t xml:space="preserve">PC_2021_031	</t>
  </si>
  <si>
    <t>PCAE4</t>
  </si>
  <si>
    <t>PC_2021_032</t>
  </si>
  <si>
    <t>PCAE5</t>
  </si>
  <si>
    <t>PC_2021_033</t>
  </si>
  <si>
    <t>PCAE6</t>
  </si>
  <si>
    <t>PC_2021_034</t>
  </si>
  <si>
    <t>PCAF1</t>
  </si>
  <si>
    <t>PC_2021_035</t>
  </si>
  <si>
    <t>PCAF2</t>
  </si>
  <si>
    <t>PC_2021_036</t>
  </si>
  <si>
    <t>PCAF3</t>
  </si>
  <si>
    <t>PC_2021_037</t>
  </si>
  <si>
    <t>PCAF4</t>
  </si>
  <si>
    <t>PC_2021_038</t>
  </si>
  <si>
    <t>PCAF5</t>
  </si>
  <si>
    <t>PC_2021_039</t>
  </si>
  <si>
    <t>PCAF6</t>
  </si>
  <si>
    <t>PC_2021_040</t>
  </si>
  <si>
    <t>PCAG1</t>
  </si>
  <si>
    <t>PC_2021_041</t>
  </si>
  <si>
    <t>PCAG2</t>
  </si>
  <si>
    <t>PC_2021_042</t>
  </si>
  <si>
    <t>PCAG3</t>
  </si>
  <si>
    <t>PC_2021_043</t>
  </si>
  <si>
    <t>PCAG4</t>
  </si>
  <si>
    <t>PC_2021_044</t>
  </si>
  <si>
    <t>PCAG5</t>
  </si>
  <si>
    <t>PC_2021_045</t>
  </si>
  <si>
    <t>PCAG6</t>
  </si>
  <si>
    <t>PC_2021_046</t>
  </si>
  <si>
    <t>PCAH1</t>
  </si>
  <si>
    <t>PC_2021_047</t>
  </si>
  <si>
    <t>PCAH2</t>
  </si>
  <si>
    <t>PC_2021_048</t>
  </si>
  <si>
    <t>PCAH3</t>
  </si>
  <si>
    <t>PC_2021_049</t>
  </si>
  <si>
    <t>PCAH4</t>
  </si>
  <si>
    <t>PC_2021_050</t>
  </si>
  <si>
    <t>PCAH5</t>
  </si>
  <si>
    <t>PC_2021_051</t>
  </si>
  <si>
    <t>PCAH6</t>
  </si>
  <si>
    <t>PC_2021_052</t>
  </si>
  <si>
    <t>PCAI1</t>
  </si>
  <si>
    <t>PC_2021_053</t>
  </si>
  <si>
    <t>PCAI2</t>
  </si>
  <si>
    <t>PC_2021_054</t>
  </si>
  <si>
    <t>PCAI3</t>
  </si>
  <si>
    <t>PC_2021_055</t>
  </si>
  <si>
    <t>PCAI4</t>
  </si>
  <si>
    <t>PC_2021_056</t>
  </si>
  <si>
    <t>PCAI5</t>
  </si>
  <si>
    <t>PC_2021_057</t>
  </si>
  <si>
    <t>PCAI6</t>
  </si>
  <si>
    <t>PC_2021_058</t>
  </si>
  <si>
    <t>PCAJ1</t>
  </si>
  <si>
    <t>PC_2021_059</t>
  </si>
  <si>
    <t>PCAJ2</t>
  </si>
  <si>
    <t>PC_2021_060</t>
  </si>
  <si>
    <t>PCAJ3</t>
  </si>
  <si>
    <t>PC_2021_062</t>
  </si>
  <si>
    <t>PCAJ4</t>
  </si>
  <si>
    <t>PC_2021_063</t>
  </si>
  <si>
    <t>PCAJ5</t>
  </si>
  <si>
    <t>PC_2021_064</t>
  </si>
  <si>
    <t>PCAJ6</t>
  </si>
  <si>
    <t>PC_2021_065</t>
  </si>
  <si>
    <t>PCAK1</t>
  </si>
  <si>
    <t>PC_2021_066</t>
  </si>
  <si>
    <t>PCAK2</t>
  </si>
  <si>
    <t>PC_2021_068</t>
  </si>
  <si>
    <t>PCAK3</t>
  </si>
  <si>
    <t>PC_2021_069</t>
  </si>
  <si>
    <t>PCAK4</t>
  </si>
  <si>
    <t>PC_2021_070</t>
  </si>
  <si>
    <t>PCAK5</t>
  </si>
  <si>
    <t>PC_2021_071</t>
  </si>
  <si>
    <t>PCAK6</t>
  </si>
  <si>
    <t xml:space="preserve">PC_2021_072	</t>
  </si>
  <si>
    <t>PCAL1</t>
  </si>
  <si>
    <t xml:space="preserve">PC_2021_073	</t>
  </si>
  <si>
    <t>PCAL2</t>
  </si>
  <si>
    <t>PC_2021_074</t>
  </si>
  <si>
    <t>PCAL3</t>
  </si>
  <si>
    <t>PC_2021_075</t>
  </si>
  <si>
    <t>PCAL4</t>
  </si>
  <si>
    <t>PC_2021_076</t>
  </si>
  <si>
    <t>PCAL5</t>
  </si>
  <si>
    <t>PC_2021_077</t>
  </si>
  <si>
    <t>PCAL6</t>
  </si>
  <si>
    <t>PC_2021_078</t>
  </si>
  <si>
    <t>PCAM1</t>
  </si>
  <si>
    <t>PC_2021_079</t>
  </si>
  <si>
    <t>PCAM2</t>
  </si>
  <si>
    <t>PC_2021_080</t>
  </si>
  <si>
    <t>PCAM3</t>
  </si>
  <si>
    <t>PC_2020_001</t>
  </si>
  <si>
    <t>PCAM4</t>
  </si>
  <si>
    <t>PC_2020_002</t>
  </si>
  <si>
    <t>PCAM5</t>
  </si>
  <si>
    <t xml:space="preserve">PC_2020_004	</t>
  </si>
  <si>
    <t>PCAM6</t>
  </si>
  <si>
    <t>PC_2020_005</t>
  </si>
  <si>
    <t>PCAN1</t>
  </si>
  <si>
    <t>PC_2020_009</t>
  </si>
  <si>
    <t>PCAN2</t>
  </si>
  <si>
    <t>PC_2020_010</t>
  </si>
  <si>
    <t>PCAN3</t>
  </si>
  <si>
    <t>PC_2020_011</t>
  </si>
  <si>
    <t>PCAN4</t>
  </si>
  <si>
    <t>PC_2020_012</t>
  </si>
  <si>
    <t>PCAN5</t>
  </si>
  <si>
    <t>PC_2020_013</t>
  </si>
  <si>
    <t>PCAN6</t>
  </si>
  <si>
    <t>PC_2020_014</t>
  </si>
  <si>
    <t>PCAO1</t>
  </si>
  <si>
    <t>PC_2020_015</t>
  </si>
  <si>
    <t>PCAO2</t>
  </si>
  <si>
    <t>PC_2020_016</t>
  </si>
  <si>
    <t>PCAO3</t>
  </si>
  <si>
    <t>PC_2020_017</t>
  </si>
  <si>
    <t>PCAO4</t>
  </si>
  <si>
    <t>PC_2020_018</t>
  </si>
  <si>
    <t>PCAO5</t>
  </si>
  <si>
    <t xml:space="preserve">PC_2020_020	</t>
  </si>
  <si>
    <t>PCAO6</t>
  </si>
  <si>
    <t>PC_2020_022</t>
  </si>
  <si>
    <t>PCAP1</t>
  </si>
  <si>
    <t>PC_2020_023</t>
  </si>
  <si>
    <t>PCAP2</t>
  </si>
  <si>
    <t>PC_2020_024</t>
  </si>
  <si>
    <t>PCAP3</t>
  </si>
  <si>
    <t>PC_2020_025</t>
  </si>
  <si>
    <t>PCAP4</t>
  </si>
  <si>
    <t>PC_2020_026</t>
  </si>
  <si>
    <t>PCAP5</t>
  </si>
  <si>
    <t>PC_2020_027</t>
  </si>
  <si>
    <t>PCAP6</t>
  </si>
  <si>
    <t>PC_2020_030</t>
  </si>
  <si>
    <t>PCAQ1</t>
  </si>
  <si>
    <t>PC_2020_032</t>
  </si>
  <si>
    <t>PCAQ2</t>
  </si>
  <si>
    <t>PC_2020_035</t>
  </si>
  <si>
    <t>PCAQ3</t>
  </si>
  <si>
    <t>PC_2020_036</t>
  </si>
  <si>
    <t>PCAQ4</t>
  </si>
  <si>
    <t>PC_2020_037</t>
  </si>
  <si>
    <t>PCAQ5</t>
  </si>
  <si>
    <t>PC_2020_038</t>
  </si>
  <si>
    <t>PCAQ6</t>
  </si>
  <si>
    <t>PC_2020_039</t>
  </si>
  <si>
    <t>PCAR1</t>
  </si>
  <si>
    <t>PC_2020_043</t>
  </si>
  <si>
    <t>PCAR2</t>
  </si>
  <si>
    <t xml:space="preserve">PC_2020_044	</t>
  </si>
  <si>
    <t>PCAR3</t>
  </si>
  <si>
    <t>PC_2020_045</t>
  </si>
  <si>
    <t>PCAR4</t>
  </si>
  <si>
    <t>PC_2020_046</t>
  </si>
  <si>
    <t>PCAR5</t>
  </si>
  <si>
    <t>PC_2020_047</t>
  </si>
  <si>
    <t>PCAR6</t>
  </si>
  <si>
    <t>PC_2020_048</t>
  </si>
  <si>
    <t>PCAS1</t>
  </si>
  <si>
    <t>PC_2020_049</t>
  </si>
  <si>
    <t>PCAS2</t>
  </si>
  <si>
    <t>PC_2020_051</t>
  </si>
  <si>
    <t>PCAS3</t>
  </si>
  <si>
    <t>PC_2020_052</t>
  </si>
  <si>
    <t>PCAS4</t>
  </si>
  <si>
    <t>PC_2020_054</t>
  </si>
  <si>
    <t>PCAS5</t>
  </si>
  <si>
    <t>PC_2020_055</t>
  </si>
  <si>
    <t>PCAS6</t>
  </si>
  <si>
    <t>PC_2020_056</t>
  </si>
  <si>
    <t>PCAT1</t>
  </si>
  <si>
    <t>PC_2020_057</t>
  </si>
  <si>
    <t>PCAT2</t>
  </si>
  <si>
    <t>PC_2020_058</t>
  </si>
  <si>
    <t>PCAT3</t>
  </si>
  <si>
    <t>PC_2020_059</t>
  </si>
  <si>
    <t>PCAT4</t>
  </si>
  <si>
    <t>PC_2020_060</t>
  </si>
  <si>
    <t>PCAT5</t>
  </si>
  <si>
    <t>PC_2020_062</t>
  </si>
  <si>
    <t>PCAT6</t>
  </si>
  <si>
    <t>PC_2020_063</t>
  </si>
  <si>
    <t>PCAU1</t>
  </si>
  <si>
    <t>PC_2020_064</t>
  </si>
  <si>
    <t>PCAU2</t>
  </si>
  <si>
    <t>PC_2020_066</t>
  </si>
  <si>
    <t>PCAU3</t>
  </si>
  <si>
    <t>PC_2020_067</t>
  </si>
  <si>
    <t>PCAU4</t>
  </si>
  <si>
    <t>PC_2020_069</t>
  </si>
  <si>
    <t>PCAU5</t>
  </si>
  <si>
    <t>PC_2020_070</t>
  </si>
  <si>
    <t>PCAU6</t>
  </si>
  <si>
    <t>PC_2018_003</t>
  </si>
  <si>
    <t>PCAV1</t>
  </si>
  <si>
    <t>PC_2018_6</t>
  </si>
  <si>
    <t>PCAV2</t>
  </si>
  <si>
    <t>PC_2018_12</t>
  </si>
  <si>
    <t>PCAV3</t>
  </si>
  <si>
    <t>PC_2018_15</t>
  </si>
  <si>
    <t>PCAV4</t>
  </si>
  <si>
    <t>PC_2018_18</t>
  </si>
  <si>
    <t>PCAV5</t>
  </si>
  <si>
    <t>PC_2018_20</t>
  </si>
  <si>
    <t>PCAV6</t>
  </si>
  <si>
    <t>PC_2018_27</t>
  </si>
  <si>
    <t>PCAW1</t>
  </si>
  <si>
    <t>PC_2018_33</t>
  </si>
  <si>
    <t>PCAW2</t>
  </si>
  <si>
    <t>PC_2018_36</t>
  </si>
  <si>
    <t>PCAW3</t>
  </si>
  <si>
    <t>PC_2018_39</t>
  </si>
  <si>
    <t>PCAW4</t>
  </si>
  <si>
    <t>PC_2018_48</t>
  </si>
  <si>
    <t>PCAW5</t>
  </si>
  <si>
    <t>PC_2018_50</t>
  </si>
  <si>
    <t>PCAW6</t>
  </si>
  <si>
    <t>PC_2018_51</t>
  </si>
  <si>
    <t>PCAX1</t>
  </si>
  <si>
    <t>PC_2018_58</t>
  </si>
  <si>
    <t>PCAX2</t>
  </si>
  <si>
    <t>PC_2018_63</t>
  </si>
  <si>
    <t>PCAX3</t>
  </si>
  <si>
    <t>PC_2018_69</t>
  </si>
  <si>
    <t>PCAX4</t>
  </si>
  <si>
    <t>PC_2018_72</t>
  </si>
  <si>
    <t>PCAX5</t>
  </si>
  <si>
    <t>PC_2018_75</t>
  </si>
  <si>
    <t>PCAX6</t>
  </si>
  <si>
    <t>PC_2018_78</t>
  </si>
  <si>
    <t>PCAY1</t>
  </si>
  <si>
    <t>PC_2018_84</t>
  </si>
  <si>
    <t>PCAY2</t>
  </si>
  <si>
    <t>PC_2018_86</t>
  </si>
  <si>
    <t>PCAY3</t>
  </si>
  <si>
    <t>PC_2018_93</t>
  </si>
  <si>
    <t>PCAY4</t>
  </si>
  <si>
    <t>PC_2018_96</t>
  </si>
  <si>
    <t>PCAY5</t>
  </si>
  <si>
    <t>PC_2018_102</t>
  </si>
  <si>
    <t>PCAY6</t>
  </si>
  <si>
    <t>PC_2018_105</t>
  </si>
  <si>
    <t>PCAZ1</t>
  </si>
  <si>
    <t>PC_2018_108</t>
  </si>
  <si>
    <t>PCAZ2</t>
  </si>
  <si>
    <t>PC_2018_111</t>
  </si>
  <si>
    <t>PCAZ3</t>
  </si>
  <si>
    <t>PC_2018_116</t>
  </si>
  <si>
    <t>PCAZ4</t>
  </si>
  <si>
    <t>PC_2018_120</t>
  </si>
  <si>
    <t>PCAZ5</t>
  </si>
  <si>
    <t>PC_2018_123</t>
  </si>
  <si>
    <t>PCAZ6</t>
  </si>
  <si>
    <t>PC_2018_126</t>
  </si>
  <si>
    <t>PCBA1</t>
  </si>
  <si>
    <t>PC_2018_128</t>
  </si>
  <si>
    <t>PCBA2</t>
  </si>
  <si>
    <t>PC_2018_129</t>
  </si>
  <si>
    <t>PCBA3</t>
  </si>
  <si>
    <t>PC_2018_131</t>
  </si>
  <si>
    <t>PCBA4</t>
  </si>
  <si>
    <t>PC_2018_135</t>
  </si>
  <si>
    <t>PCBA5</t>
  </si>
  <si>
    <t>PC_2018_147</t>
  </si>
  <si>
    <t>PCBA6</t>
  </si>
  <si>
    <t>PC_2018_150</t>
  </si>
  <si>
    <t>PCBB1</t>
  </si>
  <si>
    <t>PC_2018_153</t>
  </si>
  <si>
    <t>PCBB2</t>
  </si>
  <si>
    <t>PC_2018_156</t>
  </si>
  <si>
    <t>PCBB3</t>
  </si>
  <si>
    <t>PC_2018_158</t>
  </si>
  <si>
    <t>PCBB4</t>
  </si>
  <si>
    <t>PC_2018_165</t>
  </si>
  <si>
    <t>PCBB5</t>
  </si>
  <si>
    <t>PC_2018_170</t>
  </si>
  <si>
    <t>PCBB6</t>
  </si>
  <si>
    <t>PC_2018_171</t>
  </si>
  <si>
    <t>PCBC1</t>
  </si>
  <si>
    <t>PC_2018_177</t>
  </si>
  <si>
    <t>PCBC2</t>
  </si>
  <si>
    <t>PC_2018_180</t>
  </si>
  <si>
    <t>PCBC3</t>
  </si>
  <si>
    <t>PC_2018_188</t>
  </si>
  <si>
    <t>PCBC4</t>
  </si>
  <si>
    <t>PC_2018_190</t>
  </si>
  <si>
    <t>PCBC5</t>
  </si>
  <si>
    <t>PC_2018_197</t>
  </si>
  <si>
    <t>PCBC6</t>
  </si>
  <si>
    <t>PC_2018_204</t>
  </si>
  <si>
    <t>PCBD1</t>
  </si>
  <si>
    <t>PC_2017_128B</t>
  </si>
  <si>
    <t>PCBD2</t>
  </si>
  <si>
    <t>PC_2017_133A</t>
  </si>
  <si>
    <t>PCBD3</t>
  </si>
  <si>
    <t>PC_2017_142A</t>
  </si>
  <si>
    <t>PCBD4</t>
  </si>
  <si>
    <t>PC_2017_147A</t>
  </si>
  <si>
    <t>PCBD5</t>
  </si>
  <si>
    <t>PC_2017_129B</t>
  </si>
  <si>
    <t>PCBD6</t>
  </si>
  <si>
    <t>PC_2017_132B</t>
  </si>
  <si>
    <t>PCBE1</t>
  </si>
  <si>
    <t>PC_2017_135B</t>
  </si>
  <si>
    <t>PCBE2</t>
  </si>
  <si>
    <t>PC_2017_127D</t>
  </si>
  <si>
    <t>PCBE3</t>
  </si>
  <si>
    <t>PC_2017_137B</t>
  </si>
  <si>
    <t>PCBE4</t>
  </si>
  <si>
    <t>PC_2017_150A</t>
  </si>
  <si>
    <t>PCBE5</t>
  </si>
  <si>
    <t>PC_2017_152A</t>
  </si>
  <si>
    <t>PCBE6</t>
  </si>
  <si>
    <t>PC_2017_161A</t>
  </si>
  <si>
    <t>PCBF1</t>
  </si>
  <si>
    <t>PC_2017_167A</t>
  </si>
  <si>
    <t>PCBF2</t>
  </si>
  <si>
    <t>PC_2017_169A</t>
  </si>
  <si>
    <t>PCBF3</t>
  </si>
  <si>
    <t>PC_2017_170A</t>
  </si>
  <si>
    <t>PCBF4</t>
  </si>
  <si>
    <t>PC_2017_141B</t>
  </si>
  <si>
    <t>PCBF5</t>
  </si>
  <si>
    <t>PC_2017_142B</t>
  </si>
  <si>
    <t>PCBF6</t>
  </si>
  <si>
    <t>PC_2017_135C</t>
  </si>
  <si>
    <t>PCBG1</t>
  </si>
  <si>
    <t>PC_2017_138C</t>
  </si>
  <si>
    <t>PCBG2</t>
  </si>
  <si>
    <t>PC_2017_178A</t>
  </si>
  <si>
    <t>PCBG3</t>
  </si>
  <si>
    <t>PC_2017_181A</t>
  </si>
  <si>
    <t>PCBG4</t>
  </si>
  <si>
    <t>PC_2017_188A</t>
  </si>
  <si>
    <t>PCBG5</t>
  </si>
  <si>
    <t>PC_2017_190A</t>
  </si>
  <si>
    <t>PCBG6</t>
  </si>
  <si>
    <t>PC_2017_193A</t>
  </si>
  <si>
    <t>PCBH1</t>
  </si>
  <si>
    <t>PC_2017_197A</t>
  </si>
  <si>
    <t>PCBH2</t>
  </si>
  <si>
    <t>PC_2017_144B</t>
  </si>
  <si>
    <t>PCBH3</t>
  </si>
  <si>
    <t>PC_2017_130D</t>
  </si>
  <si>
    <t>PCBH4</t>
  </si>
  <si>
    <t>PC_2017_140C</t>
  </si>
  <si>
    <t>PCBH5</t>
  </si>
  <si>
    <t>PC_2017_150B</t>
  </si>
  <si>
    <t>PCBH6</t>
  </si>
  <si>
    <t>PC_2017_227A</t>
  </si>
  <si>
    <t>PCBI1</t>
  </si>
  <si>
    <t>PC_2017_230A</t>
  </si>
  <si>
    <t>PCBI2</t>
  </si>
  <si>
    <t>PC_2017_233A</t>
  </si>
  <si>
    <t>PCBI3</t>
  </si>
  <si>
    <t>PC_2017_234A</t>
  </si>
  <si>
    <t>PCBI4</t>
  </si>
  <si>
    <t>PC_2017_236A</t>
  </si>
  <si>
    <t>PCBI5</t>
  </si>
  <si>
    <t>PC_2017_239A</t>
  </si>
  <si>
    <t>PCBI6</t>
  </si>
  <si>
    <t>PC_2017_242A</t>
  </si>
  <si>
    <t>PCBJ1</t>
  </si>
  <si>
    <t>PC_2017_145C</t>
  </si>
  <si>
    <t>PCBJ2</t>
  </si>
  <si>
    <t>PC_2017_149C</t>
  </si>
  <si>
    <t>PCBJ3</t>
  </si>
  <si>
    <t>PC_2017_156C</t>
  </si>
  <si>
    <t>PCBJ4</t>
  </si>
  <si>
    <t>PC_2017_156B</t>
  </si>
  <si>
    <t>PCBJ5</t>
  </si>
  <si>
    <t>PC_2017_252A</t>
  </si>
  <si>
    <t>PCBJ6</t>
  </si>
  <si>
    <t>PC_2017_158B</t>
  </si>
  <si>
    <t>PCBK1</t>
  </si>
  <si>
    <t>PC_2017_208A</t>
  </si>
  <si>
    <t>PCBK2</t>
  </si>
  <si>
    <t>PC_2017_211A</t>
  </si>
  <si>
    <t>PCBK3</t>
  </si>
  <si>
    <t>PC_2017_212A</t>
  </si>
  <si>
    <t>PCBK4</t>
  </si>
  <si>
    <t>PC_2017_215A</t>
  </si>
  <si>
    <t>PCBK5</t>
  </si>
  <si>
    <t>PC_2017_223A</t>
  </si>
  <si>
    <t>PCBK6</t>
  </si>
  <si>
    <t>PC_2017_225A</t>
  </si>
  <si>
    <t>PCBL1</t>
  </si>
  <si>
    <t>PC_2017_201A</t>
  </si>
  <si>
    <t>PCBL2</t>
  </si>
  <si>
    <t>This workbook stores data on the annual ages reconstructed from otoliths. This file includes the individual age estimates by reader as well as the final agreement age.</t>
  </si>
  <si>
    <t>Unique identifier for each fish in the study population</t>
  </si>
  <si>
    <t>Alpha-numeric identifier of a sample's position on a petrographic slide, for orientation (e.g., PCAA1: PCAA = petro slide identifier, 1 = position 1 on slide PCAA)</t>
  </si>
  <si>
    <t>Survey year in which the sample was collected</t>
  </si>
  <si>
    <t>First annual age estimate for the fish counted by reader 1</t>
  </si>
  <si>
    <t>First annual age estimate for the fish counted by reader 2</t>
  </si>
  <si>
    <t>Binary response variable: 1 = the values for lgh_age_est_1 and gw_age_est_1 match and aged the sample the same; 0 = the values do not match and aged the sample differently</t>
  </si>
  <si>
    <t>First annual age estimate for the fish counted by reader 3</t>
  </si>
  <si>
    <t>Second annual age estimate for the fish coutned by reader 1</t>
  </si>
  <si>
    <t>Second annual age estimate for the fish coutned by reader 2</t>
  </si>
  <si>
    <t>Binary response variable: 1 = the values for lgh_age_est_2 and gw_age_est_2 match and aged the sample the same; 0 = the values do not match and aged the sample differently</t>
  </si>
  <si>
    <t>Final annual age estimate for the fish</t>
  </si>
  <si>
    <t>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</si>
</sst>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536C-7661-124A-8656-BBF81175D4F3}">
  <dimension ref="A1:B13"/>
  <sheetViews>
    <sheetView tabSelected="1" workbookViewId="0">
      <selection activeCell="A3" sqref="A3"/>
    </sheetView>
  </sheetViews>
  <sheetFormatPr defaultColWidth="11.19921875" defaultRowHeight="15.6" x14ac:dyDescent="0.3"/>
  <cols>
    <col min="1" max="1" width="16.296875" customWidth="1"/>
  </cols>
  <sheetData>
    <row r="1" spans="1:2" x14ac:dyDescent="0.3">
      <c r="A1" s="2" t="s">
        <v>459</v>
      </c>
    </row>
    <row r="2" spans="1:2" x14ac:dyDescent="0.3">
      <c r="A2" s="3" t="s">
        <v>471</v>
      </c>
    </row>
    <row r="3" spans="1:2" x14ac:dyDescent="0.3">
      <c r="A3" t="s">
        <v>0</v>
      </c>
      <c r="B3" t="s">
        <v>460</v>
      </c>
    </row>
    <row r="4" spans="1:2" x14ac:dyDescent="0.3">
      <c r="A4" t="s">
        <v>1</v>
      </c>
      <c r="B4" t="s">
        <v>461</v>
      </c>
    </row>
    <row r="5" spans="1:2" x14ac:dyDescent="0.3">
      <c r="A5" t="s">
        <v>2</v>
      </c>
      <c r="B5" t="s">
        <v>462</v>
      </c>
    </row>
    <row r="6" spans="1:2" x14ac:dyDescent="0.3">
      <c r="A6" t="s">
        <v>3</v>
      </c>
      <c r="B6" t="s">
        <v>463</v>
      </c>
    </row>
    <row r="7" spans="1:2" x14ac:dyDescent="0.3">
      <c r="A7" t="s">
        <v>4</v>
      </c>
      <c r="B7" t="s">
        <v>464</v>
      </c>
    </row>
    <row r="8" spans="1:2" x14ac:dyDescent="0.3">
      <c r="A8" t="s">
        <v>5</v>
      </c>
      <c r="B8" t="s">
        <v>465</v>
      </c>
    </row>
    <row r="9" spans="1:2" x14ac:dyDescent="0.3">
      <c r="A9" t="s">
        <v>6</v>
      </c>
      <c r="B9" t="s">
        <v>466</v>
      </c>
    </row>
    <row r="10" spans="1:2" x14ac:dyDescent="0.3">
      <c r="A10" t="s">
        <v>7</v>
      </c>
      <c r="B10" t="s">
        <v>467</v>
      </c>
    </row>
    <row r="11" spans="1:2" x14ac:dyDescent="0.3">
      <c r="A11" t="s">
        <v>8</v>
      </c>
      <c r="B11" t="s">
        <v>468</v>
      </c>
    </row>
    <row r="12" spans="1:2" x14ac:dyDescent="0.3">
      <c r="A12" t="s">
        <v>9</v>
      </c>
      <c r="B12" t="s">
        <v>469</v>
      </c>
    </row>
    <row r="13" spans="1:2" x14ac:dyDescent="0.3">
      <c r="A13" t="s">
        <v>10</v>
      </c>
      <c r="B13" t="s">
        <v>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D7236-0CAD-8447-85D8-6FD0E4226368}">
  <dimension ref="A1:K225"/>
  <sheetViews>
    <sheetView workbookViewId="0">
      <selection sqref="A1:K1"/>
    </sheetView>
  </sheetViews>
  <sheetFormatPr defaultColWidth="11" defaultRowHeight="15.75" customHeight="1" x14ac:dyDescent="0.3"/>
  <cols>
    <col min="1" max="1" width="12.796875" bestFit="1" customWidth="1"/>
    <col min="2" max="3" width="9.19921875" customWidth="1"/>
    <col min="4" max="4" width="13.69921875" bestFit="1" customWidth="1"/>
    <col min="8" max="9" width="13.19921875" bestFit="1" customWidth="1"/>
  </cols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 s="1" t="s">
        <v>11</v>
      </c>
      <c r="B2" s="1" t="s">
        <v>12</v>
      </c>
      <c r="C2" s="1">
        <v>2021</v>
      </c>
      <c r="D2">
        <v>2</v>
      </c>
      <c r="E2">
        <v>2</v>
      </c>
      <c r="F2">
        <f>IF(D2=E2,1,0)</f>
        <v>1</v>
      </c>
      <c r="G2">
        <v>2</v>
      </c>
      <c r="K2">
        <v>2</v>
      </c>
    </row>
    <row r="3" spans="1:11" ht="16.95" customHeight="1" x14ac:dyDescent="0.3">
      <c r="A3" s="1" t="s">
        <v>13</v>
      </c>
      <c r="B3" s="1" t="s">
        <v>14</v>
      </c>
      <c r="C3" s="1">
        <v>2021</v>
      </c>
      <c r="D3">
        <v>3</v>
      </c>
      <c r="E3">
        <v>3</v>
      </c>
      <c r="F3">
        <f>IF(D3=E3,1,0)</f>
        <v>1</v>
      </c>
      <c r="G3">
        <v>3</v>
      </c>
      <c r="K3">
        <v>3</v>
      </c>
    </row>
    <row r="4" spans="1:11" ht="15.6" x14ac:dyDescent="0.3">
      <c r="A4" s="1" t="s">
        <v>15</v>
      </c>
      <c r="B4" s="1" t="s">
        <v>16</v>
      </c>
      <c r="C4" s="1">
        <v>2021</v>
      </c>
      <c r="D4">
        <v>2</v>
      </c>
      <c r="E4">
        <v>3</v>
      </c>
      <c r="F4">
        <f>IF(D4=E4,1,0)</f>
        <v>0</v>
      </c>
      <c r="G4">
        <v>3</v>
      </c>
      <c r="H4">
        <v>3</v>
      </c>
      <c r="I4">
        <v>3</v>
      </c>
      <c r="J4">
        <f t="shared" ref="J4" si="0">IF(H4=I4, 1, 0)</f>
        <v>1</v>
      </c>
      <c r="K4">
        <v>3</v>
      </c>
    </row>
    <row r="5" spans="1:11" ht="15.6" x14ac:dyDescent="0.3">
      <c r="A5" s="1" t="s">
        <v>17</v>
      </c>
      <c r="B5" s="1" t="s">
        <v>18</v>
      </c>
      <c r="C5" s="1">
        <v>2021</v>
      </c>
      <c r="D5">
        <v>2</v>
      </c>
      <c r="E5">
        <v>2</v>
      </c>
      <c r="F5">
        <f>IF(D5=E5,1,0)</f>
        <v>1</v>
      </c>
      <c r="G5">
        <v>2</v>
      </c>
      <c r="K5">
        <v>2</v>
      </c>
    </row>
    <row r="6" spans="1:11" ht="15.6" x14ac:dyDescent="0.3">
      <c r="A6" s="1" t="s">
        <v>19</v>
      </c>
      <c r="B6" s="1" t="s">
        <v>20</v>
      </c>
      <c r="C6" s="1">
        <v>2021</v>
      </c>
      <c r="D6">
        <v>2</v>
      </c>
      <c r="G6">
        <v>2</v>
      </c>
      <c r="K6">
        <v>2</v>
      </c>
    </row>
    <row r="7" spans="1:11" ht="15.6" x14ac:dyDescent="0.3">
      <c r="A7" s="1" t="s">
        <v>21</v>
      </c>
      <c r="B7" s="1" t="s">
        <v>22</v>
      </c>
      <c r="C7" s="1">
        <v>2021</v>
      </c>
      <c r="D7">
        <v>4</v>
      </c>
      <c r="E7">
        <v>4</v>
      </c>
      <c r="F7">
        <f>IF(D7=E7,1,0)</f>
        <v>1</v>
      </c>
      <c r="G7">
        <v>4</v>
      </c>
      <c r="K7">
        <v>4</v>
      </c>
    </row>
    <row r="8" spans="1:11" ht="15.6" x14ac:dyDescent="0.3">
      <c r="A8" s="1" t="s">
        <v>23</v>
      </c>
      <c r="B8" s="1" t="s">
        <v>24</v>
      </c>
      <c r="C8" s="1">
        <v>2021</v>
      </c>
      <c r="D8">
        <v>3</v>
      </c>
      <c r="E8">
        <v>3</v>
      </c>
      <c r="F8">
        <f>IF(D8=E8,1,0)</f>
        <v>1</v>
      </c>
      <c r="G8">
        <v>3</v>
      </c>
      <c r="K8">
        <v>3</v>
      </c>
    </row>
    <row r="9" spans="1:11" ht="15.6" x14ac:dyDescent="0.3">
      <c r="A9" s="1" t="s">
        <v>25</v>
      </c>
      <c r="B9" s="1" t="s">
        <v>26</v>
      </c>
      <c r="C9" s="1">
        <v>2021</v>
      </c>
      <c r="G9">
        <v>4</v>
      </c>
      <c r="K9">
        <v>4</v>
      </c>
    </row>
    <row r="10" spans="1:11" ht="15.6" x14ac:dyDescent="0.3">
      <c r="A10" s="1" t="s">
        <v>27</v>
      </c>
      <c r="B10" s="1" t="s">
        <v>28</v>
      </c>
      <c r="C10" s="1">
        <v>2021</v>
      </c>
      <c r="D10">
        <v>3</v>
      </c>
      <c r="G10">
        <v>3</v>
      </c>
      <c r="K10">
        <v>3</v>
      </c>
    </row>
    <row r="11" spans="1:11" ht="15.6" x14ac:dyDescent="0.3">
      <c r="A11" s="1" t="s">
        <v>29</v>
      </c>
      <c r="B11" s="1" t="s">
        <v>30</v>
      </c>
      <c r="C11" s="1">
        <v>2021</v>
      </c>
      <c r="D11">
        <v>3</v>
      </c>
      <c r="G11">
        <v>3</v>
      </c>
      <c r="K11">
        <v>3</v>
      </c>
    </row>
    <row r="12" spans="1:11" ht="15.6" x14ac:dyDescent="0.3">
      <c r="A12" s="1" t="s">
        <v>31</v>
      </c>
      <c r="B12" s="1" t="s">
        <v>32</v>
      </c>
      <c r="C12" s="1">
        <v>2021</v>
      </c>
      <c r="D12">
        <v>3</v>
      </c>
      <c r="E12">
        <v>3</v>
      </c>
      <c r="F12">
        <f>IF(D12=E12,1,0)</f>
        <v>1</v>
      </c>
      <c r="G12">
        <v>3</v>
      </c>
      <c r="K12">
        <v>3</v>
      </c>
    </row>
    <row r="13" spans="1:11" ht="15.6" x14ac:dyDescent="0.3">
      <c r="A13" s="1" t="s">
        <v>33</v>
      </c>
      <c r="B13" s="1" t="s">
        <v>34</v>
      </c>
      <c r="C13" s="1">
        <v>2021</v>
      </c>
      <c r="D13">
        <v>3</v>
      </c>
      <c r="E13">
        <v>3</v>
      </c>
      <c r="F13">
        <f>IF(D13=E13,1,0)</f>
        <v>1</v>
      </c>
      <c r="G13">
        <v>2</v>
      </c>
      <c r="K13">
        <v>3</v>
      </c>
    </row>
    <row r="14" spans="1:11" ht="15.6" x14ac:dyDescent="0.3">
      <c r="A14" s="1" t="s">
        <v>35</v>
      </c>
      <c r="B14" s="1" t="s">
        <v>36</v>
      </c>
      <c r="C14" s="1">
        <v>2021</v>
      </c>
      <c r="E14">
        <v>2</v>
      </c>
      <c r="G14">
        <v>3</v>
      </c>
      <c r="K14">
        <v>3</v>
      </c>
    </row>
    <row r="15" spans="1:11" ht="15.6" x14ac:dyDescent="0.3">
      <c r="A15" s="1" t="s">
        <v>37</v>
      </c>
      <c r="B15" s="1" t="s">
        <v>38</v>
      </c>
      <c r="C15" s="1">
        <v>2021</v>
      </c>
      <c r="D15">
        <v>3</v>
      </c>
      <c r="E15">
        <v>3</v>
      </c>
      <c r="F15">
        <f>IF(D15=E15,1,0)</f>
        <v>1</v>
      </c>
      <c r="G15">
        <v>3</v>
      </c>
      <c r="K15">
        <v>3</v>
      </c>
    </row>
    <row r="16" spans="1:11" ht="15.6" x14ac:dyDescent="0.3">
      <c r="A16" s="1" t="s">
        <v>39</v>
      </c>
      <c r="B16" s="1" t="s">
        <v>40</v>
      </c>
      <c r="C16" s="1">
        <v>2021</v>
      </c>
      <c r="D16">
        <v>3</v>
      </c>
      <c r="E16">
        <v>2</v>
      </c>
      <c r="F16">
        <f>IF(D16=E16,1,0)</f>
        <v>0</v>
      </c>
      <c r="G16">
        <v>2</v>
      </c>
      <c r="H16">
        <v>2</v>
      </c>
      <c r="I16">
        <v>2</v>
      </c>
      <c r="J16">
        <f t="shared" ref="J16" si="1">IF(H16=I16, 1, 0)</f>
        <v>1</v>
      </c>
      <c r="K16">
        <v>2</v>
      </c>
    </row>
    <row r="17" spans="1:11" ht="15.6" x14ac:dyDescent="0.3">
      <c r="A17" s="1" t="s">
        <v>41</v>
      </c>
      <c r="B17" s="1" t="s">
        <v>42</v>
      </c>
      <c r="C17" s="1">
        <v>2021</v>
      </c>
      <c r="G17">
        <v>3</v>
      </c>
      <c r="K17">
        <v>3</v>
      </c>
    </row>
    <row r="18" spans="1:11" ht="15.6" x14ac:dyDescent="0.3">
      <c r="A18" s="1" t="s">
        <v>43</v>
      </c>
      <c r="B18" s="1" t="s">
        <v>44</v>
      </c>
      <c r="C18" s="1">
        <v>2021</v>
      </c>
      <c r="D18">
        <v>2</v>
      </c>
      <c r="G18">
        <v>2</v>
      </c>
      <c r="K18">
        <v>2</v>
      </c>
    </row>
    <row r="19" spans="1:11" ht="15.6" x14ac:dyDescent="0.3">
      <c r="A19" s="1" t="s">
        <v>45</v>
      </c>
      <c r="B19" s="1" t="s">
        <v>46</v>
      </c>
      <c r="C19" s="1">
        <v>2021</v>
      </c>
      <c r="D19">
        <v>2</v>
      </c>
      <c r="E19">
        <v>3</v>
      </c>
      <c r="F19">
        <f>IF(D19=E19,1,0)</f>
        <v>0</v>
      </c>
      <c r="G19">
        <v>2</v>
      </c>
      <c r="H19">
        <v>3</v>
      </c>
      <c r="I19">
        <v>2</v>
      </c>
      <c r="J19">
        <f t="shared" ref="J19" si="2">IF(H19=I19, 1, 0)</f>
        <v>0</v>
      </c>
      <c r="K19">
        <v>2</v>
      </c>
    </row>
    <row r="20" spans="1:11" ht="15.6" x14ac:dyDescent="0.3">
      <c r="A20" s="1" t="s">
        <v>47</v>
      </c>
      <c r="B20" s="1" t="s">
        <v>48</v>
      </c>
      <c r="C20" s="1">
        <v>2021</v>
      </c>
      <c r="D20">
        <v>3</v>
      </c>
      <c r="E20">
        <v>3</v>
      </c>
      <c r="F20">
        <f>IF(D20=E20,1,0)</f>
        <v>1</v>
      </c>
      <c r="G20">
        <v>3</v>
      </c>
      <c r="K20">
        <v>3</v>
      </c>
    </row>
    <row r="21" spans="1:11" ht="15.6" x14ac:dyDescent="0.3">
      <c r="A21" s="1" t="s">
        <v>49</v>
      </c>
      <c r="B21" s="1" t="s">
        <v>50</v>
      </c>
      <c r="C21" s="1">
        <v>2021</v>
      </c>
      <c r="D21">
        <v>3</v>
      </c>
      <c r="E21">
        <v>3</v>
      </c>
      <c r="F21">
        <f>IF(D21=E21,1,0)</f>
        <v>1</v>
      </c>
      <c r="G21">
        <v>2</v>
      </c>
      <c r="K21">
        <v>2</v>
      </c>
    </row>
    <row r="22" spans="1:11" ht="15.6" x14ac:dyDescent="0.3">
      <c r="A22" s="1" t="s">
        <v>51</v>
      </c>
      <c r="B22" s="1" t="s">
        <v>52</v>
      </c>
      <c r="C22" s="1">
        <v>2021</v>
      </c>
      <c r="D22">
        <v>3</v>
      </c>
      <c r="G22">
        <v>3</v>
      </c>
      <c r="K22">
        <v>3</v>
      </c>
    </row>
    <row r="23" spans="1:11" ht="15.6" x14ac:dyDescent="0.3">
      <c r="A23" s="1" t="s">
        <v>53</v>
      </c>
      <c r="B23" s="1" t="s">
        <v>54</v>
      </c>
      <c r="C23" s="1">
        <v>2021</v>
      </c>
      <c r="D23">
        <v>3</v>
      </c>
      <c r="G23">
        <v>3</v>
      </c>
      <c r="K23">
        <v>3</v>
      </c>
    </row>
    <row r="24" spans="1:11" ht="15.6" x14ac:dyDescent="0.3">
      <c r="A24" s="1" t="s">
        <v>55</v>
      </c>
      <c r="B24" s="1" t="s">
        <v>56</v>
      </c>
      <c r="C24" s="1">
        <v>2021</v>
      </c>
      <c r="D24">
        <v>3</v>
      </c>
      <c r="E24">
        <v>2</v>
      </c>
      <c r="F24">
        <f>IF(D24=E24,1,0)</f>
        <v>0</v>
      </c>
      <c r="G24">
        <v>2</v>
      </c>
      <c r="H24">
        <v>3</v>
      </c>
      <c r="I24">
        <v>3</v>
      </c>
      <c r="J24">
        <f t="shared" ref="J24:J26" si="3">IF(H24=I24, 1, 0)</f>
        <v>1</v>
      </c>
      <c r="K24">
        <v>3</v>
      </c>
    </row>
    <row r="25" spans="1:11" ht="15.6" x14ac:dyDescent="0.3">
      <c r="A25" s="1" t="s">
        <v>57</v>
      </c>
      <c r="B25" s="1" t="s">
        <v>58</v>
      </c>
      <c r="C25" s="1">
        <v>2021</v>
      </c>
      <c r="D25">
        <v>3</v>
      </c>
      <c r="E25">
        <v>3</v>
      </c>
      <c r="F25">
        <f>IF(D25=E25,1,0)</f>
        <v>1</v>
      </c>
      <c r="G25">
        <v>3</v>
      </c>
      <c r="K25">
        <v>3</v>
      </c>
    </row>
    <row r="26" spans="1:11" ht="15.6" x14ac:dyDescent="0.3">
      <c r="A26" s="1" t="s">
        <v>59</v>
      </c>
      <c r="B26" s="1" t="s">
        <v>60</v>
      </c>
      <c r="C26" s="1">
        <v>2021</v>
      </c>
      <c r="D26">
        <v>2</v>
      </c>
      <c r="E26">
        <v>3</v>
      </c>
      <c r="F26">
        <f>IF(D26=E26,1,0)</f>
        <v>0</v>
      </c>
      <c r="G26">
        <v>3</v>
      </c>
      <c r="H26">
        <v>3</v>
      </c>
      <c r="I26">
        <v>3</v>
      </c>
      <c r="J26">
        <f t="shared" si="3"/>
        <v>1</v>
      </c>
      <c r="K26">
        <v>3</v>
      </c>
    </row>
    <row r="27" spans="1:11" ht="15.6" x14ac:dyDescent="0.3">
      <c r="A27" s="1" t="s">
        <v>61</v>
      </c>
      <c r="B27" s="1" t="s">
        <v>62</v>
      </c>
      <c r="C27" s="1">
        <v>2021</v>
      </c>
      <c r="D27">
        <v>2</v>
      </c>
      <c r="G27">
        <v>3</v>
      </c>
      <c r="K27">
        <v>3</v>
      </c>
    </row>
    <row r="28" spans="1:11" ht="15.6" x14ac:dyDescent="0.3">
      <c r="A28" s="1" t="s">
        <v>63</v>
      </c>
      <c r="B28" s="1" t="s">
        <v>64</v>
      </c>
      <c r="C28" s="1">
        <v>2021</v>
      </c>
      <c r="D28">
        <v>3</v>
      </c>
      <c r="G28">
        <v>3</v>
      </c>
      <c r="K28">
        <v>3</v>
      </c>
    </row>
    <row r="29" spans="1:11" ht="15.6" x14ac:dyDescent="0.3">
      <c r="A29" s="1" t="s">
        <v>65</v>
      </c>
      <c r="B29" t="s">
        <v>66</v>
      </c>
      <c r="C29" s="1">
        <v>2021</v>
      </c>
      <c r="D29">
        <v>3</v>
      </c>
      <c r="E29">
        <v>3</v>
      </c>
      <c r="F29">
        <f>IF(D29=E29,1,0)</f>
        <v>1</v>
      </c>
      <c r="G29">
        <v>2</v>
      </c>
      <c r="K29">
        <v>3</v>
      </c>
    </row>
    <row r="30" spans="1:11" ht="15.6" x14ac:dyDescent="0.3">
      <c r="A30" s="1" t="s">
        <v>67</v>
      </c>
      <c r="B30" s="1" t="s">
        <v>68</v>
      </c>
      <c r="C30" s="1">
        <v>2021</v>
      </c>
      <c r="D30">
        <v>4</v>
      </c>
      <c r="E30">
        <v>4</v>
      </c>
      <c r="F30">
        <f>IF(D30=E30,1,0)</f>
        <v>1</v>
      </c>
      <c r="G30">
        <v>4</v>
      </c>
      <c r="K30">
        <v>4</v>
      </c>
    </row>
    <row r="31" spans="1:11" ht="15.6" x14ac:dyDescent="0.3">
      <c r="A31" s="1" t="s">
        <v>69</v>
      </c>
      <c r="B31" s="1" t="s">
        <v>70</v>
      </c>
      <c r="C31" s="1">
        <v>2021</v>
      </c>
      <c r="D31">
        <v>3</v>
      </c>
      <c r="E31">
        <v>3</v>
      </c>
      <c r="F31">
        <f>IF(D31=E31,1,0)</f>
        <v>1</v>
      </c>
      <c r="G31">
        <v>3</v>
      </c>
      <c r="K31">
        <v>3</v>
      </c>
    </row>
    <row r="32" spans="1:11" ht="15.6" x14ac:dyDescent="0.3">
      <c r="A32" s="1" t="s">
        <v>71</v>
      </c>
      <c r="B32" s="1" t="s">
        <v>72</v>
      </c>
      <c r="C32" s="1">
        <v>2021</v>
      </c>
      <c r="D32">
        <v>2</v>
      </c>
      <c r="G32">
        <v>2</v>
      </c>
      <c r="K32">
        <v>2</v>
      </c>
    </row>
    <row r="33" spans="1:11" ht="15.6" x14ac:dyDescent="0.3">
      <c r="A33" s="1" t="s">
        <v>73</v>
      </c>
      <c r="B33" s="1" t="s">
        <v>74</v>
      </c>
      <c r="C33" s="1">
        <v>2021</v>
      </c>
      <c r="D33">
        <v>3</v>
      </c>
      <c r="E33">
        <v>3</v>
      </c>
      <c r="F33">
        <f>IF(D33=E33,1,0)</f>
        <v>1</v>
      </c>
      <c r="G33">
        <v>3</v>
      </c>
      <c r="K33">
        <v>3</v>
      </c>
    </row>
    <row r="34" spans="1:11" ht="15.6" x14ac:dyDescent="0.3">
      <c r="A34" s="1" t="s">
        <v>75</v>
      </c>
      <c r="B34" s="1" t="s">
        <v>76</v>
      </c>
      <c r="C34" s="1">
        <v>2021</v>
      </c>
      <c r="D34">
        <v>2</v>
      </c>
      <c r="E34">
        <v>2</v>
      </c>
      <c r="F34">
        <f>IF(D34=E34,1,0)</f>
        <v>1</v>
      </c>
      <c r="G34">
        <v>2</v>
      </c>
      <c r="K34">
        <v>2</v>
      </c>
    </row>
    <row r="35" spans="1:11" ht="15.6" x14ac:dyDescent="0.3">
      <c r="A35" s="1" t="s">
        <v>77</v>
      </c>
      <c r="B35" s="1" t="s">
        <v>78</v>
      </c>
      <c r="C35" s="1">
        <v>2021</v>
      </c>
      <c r="D35">
        <v>2</v>
      </c>
      <c r="G35">
        <v>3</v>
      </c>
      <c r="K35">
        <v>3</v>
      </c>
    </row>
    <row r="36" spans="1:11" ht="15.6" x14ac:dyDescent="0.3">
      <c r="A36" s="1" t="s">
        <v>79</v>
      </c>
      <c r="B36" s="1" t="s">
        <v>80</v>
      </c>
      <c r="C36" s="1">
        <v>2021</v>
      </c>
      <c r="D36">
        <v>2</v>
      </c>
      <c r="G36">
        <v>2</v>
      </c>
      <c r="K36">
        <v>2</v>
      </c>
    </row>
    <row r="37" spans="1:11" ht="15.6" x14ac:dyDescent="0.3">
      <c r="A37" s="1" t="s">
        <v>81</v>
      </c>
      <c r="B37" s="1" t="s">
        <v>82</v>
      </c>
      <c r="C37" s="1">
        <v>2021</v>
      </c>
      <c r="D37">
        <v>3</v>
      </c>
      <c r="E37">
        <v>4</v>
      </c>
      <c r="F37">
        <f t="shared" ref="F37:F42" si="4">IF(D37=E37,1,0)</f>
        <v>0</v>
      </c>
      <c r="G37">
        <v>4</v>
      </c>
      <c r="H37">
        <v>4</v>
      </c>
      <c r="I37">
        <v>4</v>
      </c>
      <c r="J37">
        <f t="shared" ref="J37" si="5">IF(H37=I37, 1, 0)</f>
        <v>1</v>
      </c>
      <c r="K37">
        <v>4</v>
      </c>
    </row>
    <row r="38" spans="1:11" ht="15.6" x14ac:dyDescent="0.3">
      <c r="A38" s="1" t="s">
        <v>83</v>
      </c>
      <c r="B38" s="1" t="s">
        <v>84</v>
      </c>
      <c r="C38" s="1">
        <v>2021</v>
      </c>
      <c r="D38">
        <v>3</v>
      </c>
      <c r="E38">
        <v>3</v>
      </c>
      <c r="F38">
        <f t="shared" si="4"/>
        <v>1</v>
      </c>
      <c r="G38">
        <v>3</v>
      </c>
      <c r="K38">
        <v>3</v>
      </c>
    </row>
    <row r="39" spans="1:11" ht="15.6" x14ac:dyDescent="0.3">
      <c r="A39" s="1" t="s">
        <v>85</v>
      </c>
      <c r="B39" s="1" t="s">
        <v>86</v>
      </c>
      <c r="C39" s="1">
        <v>2021</v>
      </c>
      <c r="D39">
        <v>3</v>
      </c>
      <c r="E39">
        <v>3</v>
      </c>
      <c r="F39">
        <f t="shared" si="4"/>
        <v>1</v>
      </c>
      <c r="G39">
        <v>2</v>
      </c>
      <c r="K39">
        <v>3</v>
      </c>
    </row>
    <row r="40" spans="1:11" ht="15.6" x14ac:dyDescent="0.3">
      <c r="A40" s="1" t="s">
        <v>87</v>
      </c>
      <c r="B40" s="1" t="s">
        <v>88</v>
      </c>
      <c r="C40" s="1">
        <v>2021</v>
      </c>
      <c r="D40">
        <v>3</v>
      </c>
      <c r="E40">
        <v>3</v>
      </c>
      <c r="F40">
        <f t="shared" si="4"/>
        <v>1</v>
      </c>
      <c r="G40">
        <v>3</v>
      </c>
      <c r="K40">
        <v>3</v>
      </c>
    </row>
    <row r="41" spans="1:11" ht="15.6" x14ac:dyDescent="0.3">
      <c r="A41" s="1" t="s">
        <v>89</v>
      </c>
      <c r="B41" s="1" t="s">
        <v>90</v>
      </c>
      <c r="C41" s="1">
        <v>2021</v>
      </c>
      <c r="D41">
        <v>3</v>
      </c>
      <c r="E41">
        <v>3</v>
      </c>
      <c r="F41">
        <f t="shared" si="4"/>
        <v>1</v>
      </c>
      <c r="G41">
        <v>3</v>
      </c>
      <c r="K41">
        <v>3</v>
      </c>
    </row>
    <row r="42" spans="1:11" ht="15.6" x14ac:dyDescent="0.3">
      <c r="A42" s="1" t="s">
        <v>91</v>
      </c>
      <c r="B42" s="1" t="s">
        <v>92</v>
      </c>
      <c r="C42" s="1">
        <v>2021</v>
      </c>
      <c r="D42">
        <v>3</v>
      </c>
      <c r="E42">
        <v>3</v>
      </c>
      <c r="F42">
        <f t="shared" si="4"/>
        <v>1</v>
      </c>
      <c r="G42">
        <v>3</v>
      </c>
      <c r="K42">
        <v>3</v>
      </c>
    </row>
    <row r="43" spans="1:11" ht="15.6" x14ac:dyDescent="0.3">
      <c r="A43" s="1" t="s">
        <v>93</v>
      </c>
      <c r="B43" s="1" t="s">
        <v>94</v>
      </c>
      <c r="C43" s="1">
        <v>2021</v>
      </c>
      <c r="D43">
        <v>2</v>
      </c>
      <c r="G43">
        <v>2</v>
      </c>
      <c r="K43">
        <v>2</v>
      </c>
    </row>
    <row r="44" spans="1:11" ht="15.6" x14ac:dyDescent="0.3">
      <c r="A44" s="1" t="s">
        <v>95</v>
      </c>
      <c r="B44" s="1" t="s">
        <v>96</v>
      </c>
      <c r="C44" s="1">
        <v>2021</v>
      </c>
      <c r="D44">
        <v>2</v>
      </c>
      <c r="E44">
        <v>3</v>
      </c>
      <c r="F44">
        <f>IF(D44=E44,1,0)</f>
        <v>0</v>
      </c>
      <c r="G44">
        <v>2</v>
      </c>
      <c r="H44">
        <v>3</v>
      </c>
      <c r="I44">
        <v>3</v>
      </c>
      <c r="J44">
        <f t="shared" ref="J44" si="6">IF(H44=I44, 1, 0)</f>
        <v>1</v>
      </c>
      <c r="K44">
        <v>3</v>
      </c>
    </row>
    <row r="45" spans="1:11" ht="15.6" x14ac:dyDescent="0.3">
      <c r="A45" s="1" t="s">
        <v>97</v>
      </c>
      <c r="B45" s="1" t="s">
        <v>98</v>
      </c>
      <c r="C45" s="1">
        <v>2021</v>
      </c>
      <c r="D45">
        <v>2</v>
      </c>
      <c r="E45">
        <v>2</v>
      </c>
      <c r="F45">
        <f>IF(D45=E45,1,0)</f>
        <v>1</v>
      </c>
      <c r="G45">
        <v>2</v>
      </c>
      <c r="K45">
        <v>2</v>
      </c>
    </row>
    <row r="46" spans="1:11" ht="15.6" x14ac:dyDescent="0.3">
      <c r="A46" s="1" t="s">
        <v>99</v>
      </c>
      <c r="B46" s="1" t="s">
        <v>100</v>
      </c>
      <c r="C46" s="1">
        <v>2021</v>
      </c>
      <c r="D46">
        <v>2</v>
      </c>
      <c r="G46">
        <v>3</v>
      </c>
      <c r="K46">
        <v>3</v>
      </c>
    </row>
    <row r="47" spans="1:11" ht="15.6" x14ac:dyDescent="0.3">
      <c r="A47" s="1" t="s">
        <v>101</v>
      </c>
      <c r="B47" s="1" t="s">
        <v>102</v>
      </c>
      <c r="C47" s="1">
        <v>2021</v>
      </c>
      <c r="D47">
        <v>2</v>
      </c>
      <c r="E47">
        <v>2</v>
      </c>
      <c r="F47">
        <f>IF(D47=E47,1,0)</f>
        <v>1</v>
      </c>
      <c r="G47">
        <v>2</v>
      </c>
      <c r="K47">
        <v>2</v>
      </c>
    </row>
    <row r="48" spans="1:11" ht="15.6" x14ac:dyDescent="0.3">
      <c r="A48" s="1" t="s">
        <v>103</v>
      </c>
      <c r="B48" s="1" t="s">
        <v>104</v>
      </c>
      <c r="C48" s="1">
        <v>2021</v>
      </c>
      <c r="G48">
        <v>2</v>
      </c>
      <c r="K48">
        <v>2</v>
      </c>
    </row>
    <row r="49" spans="1:11" ht="15.6" x14ac:dyDescent="0.3">
      <c r="A49" s="1" t="s">
        <v>105</v>
      </c>
      <c r="B49" s="1" t="s">
        <v>106</v>
      </c>
      <c r="C49" s="1">
        <v>2021</v>
      </c>
      <c r="D49">
        <v>2</v>
      </c>
      <c r="E49">
        <v>2</v>
      </c>
      <c r="F49">
        <f>IF(D49=E49,1,0)</f>
        <v>1</v>
      </c>
      <c r="G49">
        <v>2</v>
      </c>
      <c r="K49">
        <v>2</v>
      </c>
    </row>
    <row r="50" spans="1:11" ht="15.6" x14ac:dyDescent="0.3">
      <c r="A50" s="1" t="s">
        <v>107</v>
      </c>
      <c r="B50" s="1" t="s">
        <v>108</v>
      </c>
      <c r="C50" s="1">
        <v>2021</v>
      </c>
      <c r="D50">
        <v>3</v>
      </c>
      <c r="E50">
        <v>3</v>
      </c>
      <c r="F50">
        <f>IF(D50=E50,1,0)</f>
        <v>1</v>
      </c>
      <c r="G50">
        <v>2</v>
      </c>
      <c r="K50">
        <v>3</v>
      </c>
    </row>
    <row r="51" spans="1:11" ht="15.6" x14ac:dyDescent="0.3">
      <c r="A51" s="1" t="s">
        <v>109</v>
      </c>
      <c r="B51" s="1" t="s">
        <v>110</v>
      </c>
      <c r="C51" s="1">
        <v>2021</v>
      </c>
      <c r="D51">
        <v>3</v>
      </c>
      <c r="E51">
        <v>3</v>
      </c>
      <c r="F51">
        <f>IF(D51=E51,1,0)</f>
        <v>1</v>
      </c>
      <c r="G51">
        <v>3</v>
      </c>
      <c r="K51">
        <v>3</v>
      </c>
    </row>
    <row r="52" spans="1:11" ht="15.6" x14ac:dyDescent="0.3">
      <c r="A52" s="1" t="s">
        <v>111</v>
      </c>
      <c r="B52" s="1" t="s">
        <v>112</v>
      </c>
      <c r="C52" s="1">
        <v>2021</v>
      </c>
      <c r="D52">
        <v>2</v>
      </c>
      <c r="G52">
        <v>2</v>
      </c>
      <c r="K52">
        <v>2</v>
      </c>
    </row>
    <row r="53" spans="1:11" ht="15.6" x14ac:dyDescent="0.3">
      <c r="A53" s="1" t="s">
        <v>113</v>
      </c>
      <c r="B53" s="1" t="s">
        <v>114</v>
      </c>
      <c r="C53" s="1">
        <v>2021</v>
      </c>
      <c r="D53">
        <v>2</v>
      </c>
      <c r="E53">
        <v>2</v>
      </c>
      <c r="F53">
        <f>IF(D53=E53,1,0)</f>
        <v>1</v>
      </c>
      <c r="G53">
        <v>2</v>
      </c>
      <c r="K53">
        <v>2</v>
      </c>
    </row>
    <row r="54" spans="1:11" ht="15.6" x14ac:dyDescent="0.3">
      <c r="A54" s="1" t="s">
        <v>115</v>
      </c>
      <c r="B54" s="1" t="s">
        <v>116</v>
      </c>
      <c r="C54" s="1">
        <v>2021</v>
      </c>
      <c r="G54">
        <v>3</v>
      </c>
      <c r="K54">
        <v>3</v>
      </c>
    </row>
    <row r="55" spans="1:11" ht="15.6" x14ac:dyDescent="0.3">
      <c r="A55" s="1" t="s">
        <v>117</v>
      </c>
      <c r="B55" s="1" t="s">
        <v>118</v>
      </c>
      <c r="C55" s="1">
        <v>2021</v>
      </c>
      <c r="D55">
        <v>3</v>
      </c>
      <c r="G55">
        <v>3</v>
      </c>
      <c r="K55">
        <v>3</v>
      </c>
    </row>
    <row r="56" spans="1:11" ht="15.6" x14ac:dyDescent="0.3">
      <c r="A56" s="1" t="s">
        <v>119</v>
      </c>
      <c r="B56" s="1" t="s">
        <v>120</v>
      </c>
      <c r="C56" s="1">
        <v>2021</v>
      </c>
      <c r="D56">
        <v>3</v>
      </c>
      <c r="E56">
        <v>3</v>
      </c>
      <c r="F56">
        <f>IF(D56=E56,1,0)</f>
        <v>1</v>
      </c>
      <c r="G56">
        <v>3</v>
      </c>
      <c r="K56">
        <v>3</v>
      </c>
    </row>
    <row r="57" spans="1:11" ht="15.6" x14ac:dyDescent="0.3">
      <c r="A57" s="1" t="s">
        <v>121</v>
      </c>
      <c r="B57" s="1" t="s">
        <v>122</v>
      </c>
      <c r="C57" s="1">
        <v>2021</v>
      </c>
      <c r="D57">
        <v>2</v>
      </c>
      <c r="E57">
        <v>2</v>
      </c>
      <c r="F57">
        <f>IF(D57=E57,1,0)</f>
        <v>1</v>
      </c>
      <c r="G57">
        <v>2</v>
      </c>
      <c r="K57">
        <v>2</v>
      </c>
    </row>
    <row r="58" spans="1:11" ht="15.6" x14ac:dyDescent="0.3">
      <c r="A58" s="1" t="s">
        <v>123</v>
      </c>
      <c r="B58" s="1" t="s">
        <v>124</v>
      </c>
      <c r="C58" s="1">
        <v>2021</v>
      </c>
      <c r="D58">
        <v>2</v>
      </c>
      <c r="G58">
        <v>3</v>
      </c>
      <c r="K58">
        <v>3</v>
      </c>
    </row>
    <row r="59" spans="1:11" ht="15.6" x14ac:dyDescent="0.3">
      <c r="A59" s="1" t="s">
        <v>125</v>
      </c>
      <c r="B59" s="1" t="s">
        <v>126</v>
      </c>
      <c r="C59" s="1">
        <v>2021</v>
      </c>
      <c r="D59">
        <v>2</v>
      </c>
      <c r="G59">
        <v>2</v>
      </c>
      <c r="K59">
        <v>2</v>
      </c>
    </row>
    <row r="60" spans="1:11" ht="15.6" x14ac:dyDescent="0.3">
      <c r="A60" s="1" t="s">
        <v>127</v>
      </c>
      <c r="B60" s="1" t="s">
        <v>128</v>
      </c>
      <c r="C60" s="1">
        <v>2021</v>
      </c>
      <c r="G60">
        <v>2</v>
      </c>
      <c r="K60">
        <v>2</v>
      </c>
    </row>
    <row r="61" spans="1:11" ht="15.6" x14ac:dyDescent="0.3">
      <c r="A61" s="1" t="s">
        <v>129</v>
      </c>
      <c r="B61" s="1" t="s">
        <v>130</v>
      </c>
      <c r="C61" s="1">
        <v>2021</v>
      </c>
      <c r="D61">
        <v>2</v>
      </c>
      <c r="E61">
        <v>3</v>
      </c>
      <c r="F61">
        <f>IF(D61=E61,1,0)</f>
        <v>0</v>
      </c>
      <c r="G61">
        <v>2</v>
      </c>
      <c r="H61">
        <v>3</v>
      </c>
      <c r="I61">
        <v>3</v>
      </c>
      <c r="J61">
        <f t="shared" ref="J61" si="7">IF(H61=I61, 1, 0)</f>
        <v>1</v>
      </c>
      <c r="K61">
        <v>3</v>
      </c>
    </row>
    <row r="62" spans="1:11" ht="15.6" x14ac:dyDescent="0.3">
      <c r="A62" s="1" t="s">
        <v>131</v>
      </c>
      <c r="B62" s="1" t="s">
        <v>132</v>
      </c>
      <c r="C62" s="1">
        <v>2021</v>
      </c>
      <c r="D62">
        <v>3</v>
      </c>
      <c r="E62">
        <v>3</v>
      </c>
      <c r="F62">
        <f>IF(D62=E62,1,0)</f>
        <v>1</v>
      </c>
      <c r="G62">
        <v>3</v>
      </c>
      <c r="K62">
        <v>3</v>
      </c>
    </row>
    <row r="63" spans="1:11" ht="15.6" x14ac:dyDescent="0.3">
      <c r="A63" s="1" t="s">
        <v>133</v>
      </c>
      <c r="B63" s="1" t="s">
        <v>134</v>
      </c>
      <c r="C63" s="1">
        <v>2021</v>
      </c>
      <c r="D63">
        <v>3</v>
      </c>
      <c r="E63">
        <v>3</v>
      </c>
      <c r="F63">
        <f>IF(D63=E63,1,0)</f>
        <v>1</v>
      </c>
      <c r="G63">
        <v>3</v>
      </c>
      <c r="K63">
        <v>3</v>
      </c>
    </row>
    <row r="64" spans="1:11" ht="15.6" x14ac:dyDescent="0.3">
      <c r="A64" s="1" t="s">
        <v>135</v>
      </c>
      <c r="B64" s="1" t="s">
        <v>136</v>
      </c>
      <c r="C64" s="1">
        <v>2021</v>
      </c>
      <c r="D64">
        <v>3</v>
      </c>
      <c r="G64">
        <v>2</v>
      </c>
      <c r="K64">
        <v>2</v>
      </c>
    </row>
    <row r="65" spans="1:11" ht="15.6" x14ac:dyDescent="0.3">
      <c r="A65" s="1" t="s">
        <v>137</v>
      </c>
      <c r="B65" s="1" t="s">
        <v>138</v>
      </c>
      <c r="C65" s="1">
        <v>2021</v>
      </c>
      <c r="D65">
        <v>3</v>
      </c>
      <c r="E65">
        <v>3</v>
      </c>
      <c r="F65">
        <f>IF(D65=E65,1,0)</f>
        <v>1</v>
      </c>
      <c r="G65">
        <v>3</v>
      </c>
      <c r="K65">
        <v>3</v>
      </c>
    </row>
    <row r="66" spans="1:11" ht="15.6" x14ac:dyDescent="0.3">
      <c r="A66" s="1" t="s">
        <v>139</v>
      </c>
      <c r="B66" s="1" t="s">
        <v>140</v>
      </c>
      <c r="C66" s="1">
        <v>2021</v>
      </c>
      <c r="D66">
        <v>4</v>
      </c>
      <c r="E66">
        <v>3</v>
      </c>
      <c r="F66">
        <f>IF(D66=E66,1,0)</f>
        <v>0</v>
      </c>
      <c r="G66">
        <v>3</v>
      </c>
      <c r="H66">
        <v>4</v>
      </c>
      <c r="I66">
        <v>3</v>
      </c>
      <c r="J66">
        <f t="shared" ref="J66" si="8">IF(H66=I66, 1, 0)</f>
        <v>0</v>
      </c>
      <c r="K66">
        <v>3</v>
      </c>
    </row>
    <row r="67" spans="1:11" ht="15.6" x14ac:dyDescent="0.3">
      <c r="A67" s="1" t="s">
        <v>141</v>
      </c>
      <c r="B67" s="1" t="s">
        <v>142</v>
      </c>
      <c r="C67" s="1">
        <v>2021</v>
      </c>
      <c r="D67">
        <v>3</v>
      </c>
      <c r="G67">
        <v>3</v>
      </c>
      <c r="K67">
        <v>3</v>
      </c>
    </row>
    <row r="68" spans="1:11" ht="15.6" x14ac:dyDescent="0.3">
      <c r="A68" s="1" t="s">
        <v>143</v>
      </c>
      <c r="B68" t="s">
        <v>144</v>
      </c>
      <c r="C68" s="1">
        <v>2021</v>
      </c>
      <c r="D68">
        <v>3</v>
      </c>
      <c r="G68">
        <v>2</v>
      </c>
      <c r="K68">
        <v>2</v>
      </c>
    </row>
    <row r="69" spans="1:11" ht="15.6" x14ac:dyDescent="0.3">
      <c r="A69" s="1" t="s">
        <v>145</v>
      </c>
      <c r="B69" t="s">
        <v>146</v>
      </c>
      <c r="C69" s="1">
        <v>2021</v>
      </c>
      <c r="D69">
        <v>3</v>
      </c>
      <c r="E69">
        <v>3</v>
      </c>
      <c r="F69">
        <f>IF(D69=E69,1,0)</f>
        <v>1</v>
      </c>
      <c r="G69">
        <v>3</v>
      </c>
      <c r="K69">
        <v>3</v>
      </c>
    </row>
    <row r="70" spans="1:11" ht="15.6" x14ac:dyDescent="0.3">
      <c r="A70" s="1" t="s">
        <v>147</v>
      </c>
      <c r="B70" s="1" t="s">
        <v>148</v>
      </c>
      <c r="C70" s="1">
        <v>2021</v>
      </c>
      <c r="D70">
        <v>4</v>
      </c>
      <c r="E70">
        <v>3</v>
      </c>
      <c r="F70">
        <f>IF(D70=E70,1,0)</f>
        <v>0</v>
      </c>
      <c r="G70">
        <v>3</v>
      </c>
      <c r="H70">
        <v>4</v>
      </c>
      <c r="I70">
        <v>4</v>
      </c>
      <c r="J70">
        <f t="shared" ref="J70" si="9">IF(H70=I70, 1, 0)</f>
        <v>1</v>
      </c>
      <c r="K70">
        <v>4</v>
      </c>
    </row>
    <row r="71" spans="1:11" ht="15.6" x14ac:dyDescent="0.3">
      <c r="A71" s="1" t="s">
        <v>149</v>
      </c>
      <c r="B71" s="1" t="s">
        <v>150</v>
      </c>
      <c r="C71" s="1">
        <v>2021</v>
      </c>
      <c r="D71">
        <v>3</v>
      </c>
      <c r="G71">
        <v>3</v>
      </c>
      <c r="K71">
        <v>3</v>
      </c>
    </row>
    <row r="72" spans="1:11" ht="15.6" x14ac:dyDescent="0.3">
      <c r="A72" s="1" t="s">
        <v>151</v>
      </c>
      <c r="B72" s="1" t="s">
        <v>152</v>
      </c>
      <c r="C72" s="1">
        <v>2021</v>
      </c>
    </row>
    <row r="73" spans="1:11" ht="15.6" x14ac:dyDescent="0.3">
      <c r="A73" s="1" t="s">
        <v>153</v>
      </c>
      <c r="B73" s="1" t="s">
        <v>154</v>
      </c>
      <c r="C73" s="1">
        <v>2021</v>
      </c>
      <c r="G73">
        <v>3</v>
      </c>
      <c r="K73">
        <v>3</v>
      </c>
    </row>
    <row r="74" spans="1:11" ht="15.6" x14ac:dyDescent="0.3">
      <c r="A74" s="1" t="s">
        <v>155</v>
      </c>
      <c r="B74" s="1" t="s">
        <v>156</v>
      </c>
      <c r="C74" s="1">
        <v>2021</v>
      </c>
      <c r="D74">
        <v>3</v>
      </c>
      <c r="E74">
        <v>3</v>
      </c>
      <c r="F74">
        <f>IF(D74=E74,1,0)</f>
        <v>1</v>
      </c>
      <c r="G74">
        <v>3</v>
      </c>
      <c r="K74">
        <v>3</v>
      </c>
    </row>
    <row r="75" spans="1:11" ht="15.6" x14ac:dyDescent="0.3">
      <c r="A75" s="1" t="s">
        <v>157</v>
      </c>
      <c r="B75" s="1" t="s">
        <v>158</v>
      </c>
      <c r="C75" s="1">
        <v>2021</v>
      </c>
      <c r="D75">
        <v>3</v>
      </c>
      <c r="E75">
        <v>3</v>
      </c>
      <c r="F75">
        <f>IF(D75=E75,1,0)</f>
        <v>1</v>
      </c>
      <c r="G75">
        <v>3</v>
      </c>
      <c r="K75">
        <v>3</v>
      </c>
    </row>
    <row r="76" spans="1:11" ht="15.6" x14ac:dyDescent="0.3">
      <c r="A76" s="1" t="s">
        <v>159</v>
      </c>
      <c r="B76" s="1" t="s">
        <v>160</v>
      </c>
      <c r="C76" s="1">
        <v>2021</v>
      </c>
      <c r="D76">
        <v>3</v>
      </c>
    </row>
    <row r="77" spans="1:11" ht="15.6" x14ac:dyDescent="0.3">
      <c r="A77" s="1" t="s">
        <v>161</v>
      </c>
      <c r="B77" s="1" t="s">
        <v>162</v>
      </c>
      <c r="C77" s="1">
        <v>2020</v>
      </c>
      <c r="D77">
        <v>3</v>
      </c>
      <c r="E77">
        <v>3</v>
      </c>
      <c r="F77">
        <f>IF(D77=E77,1,0)</f>
        <v>1</v>
      </c>
      <c r="G77">
        <v>3</v>
      </c>
      <c r="K77">
        <v>3</v>
      </c>
    </row>
    <row r="78" spans="1:11" ht="15.6" x14ac:dyDescent="0.3">
      <c r="A78" s="1" t="s">
        <v>163</v>
      </c>
      <c r="B78" s="1" t="s">
        <v>164</v>
      </c>
      <c r="C78" s="1">
        <v>2020</v>
      </c>
      <c r="D78">
        <v>2</v>
      </c>
      <c r="G78">
        <v>3</v>
      </c>
      <c r="K78">
        <v>3</v>
      </c>
    </row>
    <row r="79" spans="1:11" ht="15.6" x14ac:dyDescent="0.3">
      <c r="A79" s="1" t="s">
        <v>165</v>
      </c>
      <c r="B79" t="s">
        <v>166</v>
      </c>
      <c r="C79" s="1">
        <v>2020</v>
      </c>
      <c r="D79">
        <v>4</v>
      </c>
      <c r="E79">
        <v>3</v>
      </c>
      <c r="F79">
        <f>IF(D79=E79,1,0)</f>
        <v>0</v>
      </c>
      <c r="G79">
        <v>3</v>
      </c>
      <c r="H79">
        <v>3</v>
      </c>
      <c r="I79">
        <v>3</v>
      </c>
      <c r="J79">
        <f t="shared" ref="J79" si="10">IF(H79=I79, 1, 0)</f>
        <v>1</v>
      </c>
      <c r="K79">
        <v>3</v>
      </c>
    </row>
    <row r="80" spans="1:11" ht="15.6" x14ac:dyDescent="0.3">
      <c r="A80" s="1" t="s">
        <v>167</v>
      </c>
      <c r="B80" s="1" t="s">
        <v>168</v>
      </c>
      <c r="C80" s="1">
        <v>2020</v>
      </c>
      <c r="D80">
        <v>3</v>
      </c>
      <c r="E80">
        <v>3</v>
      </c>
      <c r="F80">
        <f>IF(D80=E80,1,0)</f>
        <v>1</v>
      </c>
      <c r="G80">
        <v>3</v>
      </c>
      <c r="K80">
        <v>3</v>
      </c>
    </row>
    <row r="81" spans="1:11" ht="15.6" x14ac:dyDescent="0.3">
      <c r="A81" s="1" t="s">
        <v>169</v>
      </c>
      <c r="B81" s="1" t="s">
        <v>170</v>
      </c>
      <c r="C81" s="1">
        <v>2020</v>
      </c>
      <c r="D81">
        <v>2</v>
      </c>
      <c r="G81">
        <v>2</v>
      </c>
      <c r="K81">
        <v>2</v>
      </c>
    </row>
    <row r="82" spans="1:11" ht="15.6" x14ac:dyDescent="0.3">
      <c r="A82" s="1" t="s">
        <v>171</v>
      </c>
      <c r="B82" s="1" t="s">
        <v>172</v>
      </c>
      <c r="C82" s="1">
        <v>2020</v>
      </c>
      <c r="D82">
        <v>4</v>
      </c>
      <c r="G82">
        <v>3</v>
      </c>
      <c r="K82">
        <v>3</v>
      </c>
    </row>
    <row r="83" spans="1:11" ht="15.6" x14ac:dyDescent="0.3">
      <c r="A83" s="1" t="s">
        <v>173</v>
      </c>
      <c r="B83" s="1" t="s">
        <v>174</v>
      </c>
      <c r="C83" s="1">
        <v>2020</v>
      </c>
      <c r="D83">
        <v>3</v>
      </c>
      <c r="E83">
        <v>4</v>
      </c>
      <c r="F83">
        <f>IF(D83=E83,1,0)</f>
        <v>0</v>
      </c>
      <c r="G83">
        <v>3</v>
      </c>
      <c r="H83">
        <v>4</v>
      </c>
      <c r="I83">
        <v>4</v>
      </c>
      <c r="J83">
        <f t="shared" ref="J83" si="11">IF(H83=I83, 1, 0)</f>
        <v>1</v>
      </c>
      <c r="K83">
        <v>4</v>
      </c>
    </row>
    <row r="84" spans="1:11" ht="15.6" x14ac:dyDescent="0.3">
      <c r="A84" s="1" t="s">
        <v>175</v>
      </c>
      <c r="B84" s="1" t="s">
        <v>176</v>
      </c>
      <c r="C84" s="1">
        <v>2020</v>
      </c>
      <c r="D84">
        <v>3</v>
      </c>
      <c r="E84">
        <v>3</v>
      </c>
      <c r="F84">
        <f>IF(D84=E84,1,0)</f>
        <v>1</v>
      </c>
      <c r="G84">
        <v>3</v>
      </c>
      <c r="K84">
        <v>3</v>
      </c>
    </row>
    <row r="85" spans="1:11" ht="15.6" x14ac:dyDescent="0.3">
      <c r="A85" s="1" t="s">
        <v>177</v>
      </c>
      <c r="B85" s="1" t="s">
        <v>178</v>
      </c>
      <c r="C85" s="1">
        <v>2020</v>
      </c>
      <c r="D85">
        <v>3</v>
      </c>
      <c r="E85">
        <v>3</v>
      </c>
      <c r="F85">
        <f>IF(D85=E85,1,0)</f>
        <v>1</v>
      </c>
      <c r="G85">
        <v>4</v>
      </c>
      <c r="K85">
        <v>3</v>
      </c>
    </row>
    <row r="86" spans="1:11" ht="15.6" x14ac:dyDescent="0.3">
      <c r="A86" s="1" t="s">
        <v>179</v>
      </c>
      <c r="B86" s="1" t="s">
        <v>180</v>
      </c>
      <c r="C86" s="1">
        <v>2020</v>
      </c>
      <c r="D86">
        <v>3</v>
      </c>
      <c r="G86">
        <v>3</v>
      </c>
      <c r="K86">
        <v>3</v>
      </c>
    </row>
    <row r="87" spans="1:11" ht="15.6" x14ac:dyDescent="0.3">
      <c r="A87" s="1" t="s">
        <v>181</v>
      </c>
      <c r="B87" s="1" t="s">
        <v>182</v>
      </c>
      <c r="C87" s="1">
        <v>2020</v>
      </c>
      <c r="D87">
        <v>3</v>
      </c>
      <c r="E87">
        <v>3</v>
      </c>
      <c r="F87">
        <f>IF(D87=E87,1,0)</f>
        <v>1</v>
      </c>
      <c r="G87">
        <v>3</v>
      </c>
      <c r="K87">
        <v>3</v>
      </c>
    </row>
    <row r="88" spans="1:11" ht="15.6" x14ac:dyDescent="0.3">
      <c r="A88" s="1" t="s">
        <v>183</v>
      </c>
      <c r="B88" s="1" t="s">
        <v>184</v>
      </c>
      <c r="C88" s="1">
        <v>2020</v>
      </c>
      <c r="D88">
        <v>3</v>
      </c>
      <c r="E88">
        <v>4</v>
      </c>
      <c r="F88">
        <f>IF(D88=E88,1,0)</f>
        <v>0</v>
      </c>
      <c r="G88">
        <v>3</v>
      </c>
      <c r="H88">
        <v>4</v>
      </c>
      <c r="I88">
        <v>4</v>
      </c>
      <c r="J88">
        <f t="shared" ref="J88" si="12">IF(H88=I88, 1, 0)</f>
        <v>1</v>
      </c>
      <c r="K88">
        <v>4</v>
      </c>
    </row>
    <row r="89" spans="1:11" ht="15.6" x14ac:dyDescent="0.3">
      <c r="A89" s="1" t="s">
        <v>185</v>
      </c>
      <c r="B89" s="1" t="s">
        <v>186</v>
      </c>
      <c r="C89" s="1">
        <v>2020</v>
      </c>
      <c r="D89">
        <v>3</v>
      </c>
      <c r="E89">
        <v>3</v>
      </c>
      <c r="F89">
        <f>IF(D89=E89,1,0)</f>
        <v>1</v>
      </c>
      <c r="G89">
        <v>3</v>
      </c>
      <c r="K89">
        <v>3</v>
      </c>
    </row>
    <row r="90" spans="1:11" ht="15.6" x14ac:dyDescent="0.3">
      <c r="A90" s="1" t="s">
        <v>187</v>
      </c>
      <c r="B90" s="1" t="s">
        <v>188</v>
      </c>
      <c r="C90" s="1">
        <v>2020</v>
      </c>
      <c r="D90">
        <v>3</v>
      </c>
      <c r="E90">
        <v>3</v>
      </c>
      <c r="F90">
        <f>IF(D90=E90,1,0)</f>
        <v>1</v>
      </c>
      <c r="G90">
        <v>3</v>
      </c>
      <c r="K90">
        <v>3</v>
      </c>
    </row>
    <row r="91" spans="1:11" ht="15.6" x14ac:dyDescent="0.3">
      <c r="A91" s="1" t="s">
        <v>189</v>
      </c>
      <c r="B91" t="s">
        <v>190</v>
      </c>
      <c r="C91" s="1">
        <v>2020</v>
      </c>
      <c r="D91">
        <v>3</v>
      </c>
      <c r="E91">
        <v>3</v>
      </c>
      <c r="F91">
        <f>IF(D91=E91,1,0)</f>
        <v>1</v>
      </c>
      <c r="G91">
        <v>3</v>
      </c>
      <c r="K91">
        <v>3</v>
      </c>
    </row>
    <row r="92" spans="1:11" ht="15.6" x14ac:dyDescent="0.3">
      <c r="A92" s="1" t="s">
        <v>191</v>
      </c>
      <c r="B92" s="1" t="s">
        <v>192</v>
      </c>
      <c r="C92" s="1">
        <v>2020</v>
      </c>
    </row>
    <row r="93" spans="1:11" ht="15.6" x14ac:dyDescent="0.3">
      <c r="A93" s="1" t="s">
        <v>193</v>
      </c>
      <c r="B93" s="1" t="s">
        <v>194</v>
      </c>
      <c r="C93" s="1">
        <v>2020</v>
      </c>
      <c r="D93">
        <v>3</v>
      </c>
      <c r="E93">
        <v>3</v>
      </c>
      <c r="F93">
        <f>IF(D93=E93,1,0)</f>
        <v>1</v>
      </c>
      <c r="G93">
        <v>3</v>
      </c>
      <c r="K93">
        <v>3</v>
      </c>
    </row>
    <row r="94" spans="1:11" ht="15.6" x14ac:dyDescent="0.3">
      <c r="A94" s="1" t="s">
        <v>195</v>
      </c>
      <c r="B94" s="1" t="s">
        <v>196</v>
      </c>
      <c r="C94" s="1">
        <v>2020</v>
      </c>
      <c r="D94">
        <v>3</v>
      </c>
      <c r="G94">
        <v>4</v>
      </c>
      <c r="K94">
        <v>4</v>
      </c>
    </row>
    <row r="95" spans="1:11" ht="15.6" x14ac:dyDescent="0.3">
      <c r="A95" s="1" t="s">
        <v>197</v>
      </c>
      <c r="B95" s="1" t="s">
        <v>198</v>
      </c>
      <c r="C95" s="1">
        <v>2020</v>
      </c>
      <c r="D95">
        <v>4</v>
      </c>
      <c r="E95">
        <v>4</v>
      </c>
      <c r="F95">
        <f t="shared" ref="F95:F105" si="13">IF(D95=E95,1,0)</f>
        <v>1</v>
      </c>
      <c r="G95">
        <v>3</v>
      </c>
      <c r="K95">
        <v>4</v>
      </c>
    </row>
    <row r="96" spans="1:11" ht="15.6" x14ac:dyDescent="0.3">
      <c r="A96" s="1" t="s">
        <v>199</v>
      </c>
      <c r="B96" s="1" t="s">
        <v>200</v>
      </c>
      <c r="C96" s="1">
        <v>2020</v>
      </c>
      <c r="D96">
        <v>2</v>
      </c>
      <c r="E96">
        <v>3</v>
      </c>
      <c r="F96">
        <f t="shared" si="13"/>
        <v>0</v>
      </c>
      <c r="G96">
        <v>3</v>
      </c>
      <c r="H96">
        <v>3</v>
      </c>
      <c r="I96">
        <v>3</v>
      </c>
      <c r="J96">
        <f t="shared" ref="J96:J104" si="14">IF(H96=I96, 1, 0)</f>
        <v>1</v>
      </c>
      <c r="K96">
        <v>3</v>
      </c>
    </row>
    <row r="97" spans="1:11" ht="15.6" x14ac:dyDescent="0.3">
      <c r="A97" s="1" t="s">
        <v>201</v>
      </c>
      <c r="B97" s="1" t="s">
        <v>202</v>
      </c>
      <c r="C97" s="1">
        <v>2020</v>
      </c>
      <c r="D97">
        <v>3</v>
      </c>
      <c r="E97">
        <v>4</v>
      </c>
      <c r="F97">
        <f t="shared" si="13"/>
        <v>0</v>
      </c>
      <c r="G97">
        <v>4</v>
      </c>
      <c r="H97">
        <v>4</v>
      </c>
      <c r="I97">
        <v>4</v>
      </c>
      <c r="J97">
        <f t="shared" si="14"/>
        <v>1</v>
      </c>
      <c r="K97">
        <v>4</v>
      </c>
    </row>
    <row r="98" spans="1:11" ht="15.6" x14ac:dyDescent="0.3">
      <c r="A98" s="1" t="s">
        <v>203</v>
      </c>
      <c r="B98" s="1" t="s">
        <v>204</v>
      </c>
      <c r="C98" s="1">
        <v>2020</v>
      </c>
      <c r="D98">
        <v>3</v>
      </c>
      <c r="E98">
        <v>3</v>
      </c>
      <c r="F98">
        <f t="shared" si="13"/>
        <v>1</v>
      </c>
      <c r="G98">
        <v>3</v>
      </c>
      <c r="K98">
        <v>3</v>
      </c>
    </row>
    <row r="99" spans="1:11" ht="15.6" x14ac:dyDescent="0.3">
      <c r="A99" s="1" t="s">
        <v>205</v>
      </c>
      <c r="B99" s="1" t="s">
        <v>206</v>
      </c>
      <c r="C99" s="1">
        <v>2020</v>
      </c>
      <c r="D99">
        <v>3</v>
      </c>
      <c r="E99">
        <v>4</v>
      </c>
      <c r="F99">
        <f t="shared" si="13"/>
        <v>0</v>
      </c>
      <c r="G99">
        <v>3</v>
      </c>
      <c r="H99">
        <v>4</v>
      </c>
      <c r="I99">
        <v>4</v>
      </c>
      <c r="J99">
        <f t="shared" si="14"/>
        <v>1</v>
      </c>
      <c r="K99">
        <v>4</v>
      </c>
    </row>
    <row r="100" spans="1:11" ht="15.6" x14ac:dyDescent="0.3">
      <c r="A100" s="1" t="s">
        <v>207</v>
      </c>
      <c r="B100" s="1" t="s">
        <v>208</v>
      </c>
      <c r="C100" s="1">
        <v>2020</v>
      </c>
      <c r="D100">
        <v>3</v>
      </c>
      <c r="E100">
        <v>3</v>
      </c>
      <c r="F100">
        <f t="shared" si="13"/>
        <v>1</v>
      </c>
      <c r="G100">
        <v>3</v>
      </c>
      <c r="K100">
        <v>3</v>
      </c>
    </row>
    <row r="101" spans="1:11" ht="15.6" x14ac:dyDescent="0.3">
      <c r="A101" s="1" t="s">
        <v>209</v>
      </c>
      <c r="B101" s="1" t="s">
        <v>210</v>
      </c>
      <c r="C101" s="1">
        <v>2020</v>
      </c>
      <c r="D101">
        <v>3</v>
      </c>
      <c r="E101">
        <v>3</v>
      </c>
      <c r="F101">
        <f t="shared" si="13"/>
        <v>1</v>
      </c>
      <c r="G101">
        <v>3</v>
      </c>
      <c r="K101">
        <v>3</v>
      </c>
    </row>
    <row r="102" spans="1:11" ht="15.6" x14ac:dyDescent="0.3">
      <c r="A102" s="1" t="s">
        <v>211</v>
      </c>
      <c r="B102" s="1" t="s">
        <v>212</v>
      </c>
      <c r="C102" s="1">
        <v>2020</v>
      </c>
      <c r="D102">
        <v>4</v>
      </c>
      <c r="E102">
        <v>4</v>
      </c>
      <c r="F102">
        <f t="shared" si="13"/>
        <v>1</v>
      </c>
      <c r="G102">
        <v>4</v>
      </c>
      <c r="K102">
        <v>4</v>
      </c>
    </row>
    <row r="103" spans="1:11" ht="15.6" x14ac:dyDescent="0.3">
      <c r="A103" s="1" t="s">
        <v>213</v>
      </c>
      <c r="B103" s="1" t="s">
        <v>214</v>
      </c>
      <c r="C103" s="1">
        <v>2020</v>
      </c>
      <c r="D103">
        <v>4</v>
      </c>
      <c r="E103">
        <v>4</v>
      </c>
      <c r="F103">
        <f t="shared" si="13"/>
        <v>1</v>
      </c>
      <c r="G103">
        <v>3</v>
      </c>
      <c r="K103">
        <v>4</v>
      </c>
    </row>
    <row r="104" spans="1:11" ht="15.6" x14ac:dyDescent="0.3">
      <c r="A104" s="1" t="s">
        <v>215</v>
      </c>
      <c r="B104" s="1" t="s">
        <v>216</v>
      </c>
      <c r="C104" s="1">
        <v>2020</v>
      </c>
      <c r="D104">
        <v>3</v>
      </c>
      <c r="E104">
        <v>4</v>
      </c>
      <c r="F104">
        <f t="shared" si="13"/>
        <v>0</v>
      </c>
      <c r="G104">
        <v>4</v>
      </c>
      <c r="H104">
        <v>4</v>
      </c>
      <c r="I104">
        <v>4</v>
      </c>
      <c r="J104">
        <f t="shared" si="14"/>
        <v>1</v>
      </c>
      <c r="K104">
        <v>4</v>
      </c>
    </row>
    <row r="105" spans="1:11" ht="25.05" customHeight="1" x14ac:dyDescent="0.3">
      <c r="A105" s="1" t="s">
        <v>217</v>
      </c>
      <c r="B105" s="1" t="s">
        <v>218</v>
      </c>
      <c r="C105" s="1">
        <v>2020</v>
      </c>
      <c r="D105">
        <v>3</v>
      </c>
      <c r="E105">
        <v>3</v>
      </c>
      <c r="F105">
        <f t="shared" si="13"/>
        <v>1</v>
      </c>
      <c r="G105">
        <v>3</v>
      </c>
      <c r="K105">
        <v>3</v>
      </c>
    </row>
    <row r="106" spans="1:11" ht="15.6" x14ac:dyDescent="0.3">
      <c r="A106" s="1" t="s">
        <v>219</v>
      </c>
      <c r="B106" t="s">
        <v>220</v>
      </c>
      <c r="C106" s="1">
        <v>2020</v>
      </c>
      <c r="D106">
        <v>2</v>
      </c>
      <c r="G106">
        <v>3</v>
      </c>
      <c r="K106">
        <v>3</v>
      </c>
    </row>
    <row r="107" spans="1:11" ht="18" customHeight="1" x14ac:dyDescent="0.3">
      <c r="A107" s="1" t="s">
        <v>221</v>
      </c>
      <c r="B107" s="1" t="s">
        <v>222</v>
      </c>
      <c r="C107" s="1">
        <v>2020</v>
      </c>
      <c r="G107">
        <v>3</v>
      </c>
      <c r="K107">
        <v>3</v>
      </c>
    </row>
    <row r="108" spans="1:11" ht="15.6" x14ac:dyDescent="0.3">
      <c r="A108" s="1" t="s">
        <v>223</v>
      </c>
      <c r="B108" s="1" t="s">
        <v>224</v>
      </c>
      <c r="C108" s="1">
        <v>2020</v>
      </c>
      <c r="D108">
        <v>4</v>
      </c>
      <c r="E108">
        <v>4</v>
      </c>
      <c r="F108">
        <f>IF(D108=E108,1,0)</f>
        <v>1</v>
      </c>
      <c r="G108">
        <v>4</v>
      </c>
      <c r="K108">
        <v>4</v>
      </c>
    </row>
    <row r="109" spans="1:11" ht="15.6" x14ac:dyDescent="0.3">
      <c r="A109" s="1" t="s">
        <v>225</v>
      </c>
      <c r="B109" s="1" t="s">
        <v>226</v>
      </c>
      <c r="C109" s="1">
        <v>2020</v>
      </c>
      <c r="D109">
        <v>3</v>
      </c>
      <c r="E109">
        <v>3</v>
      </c>
      <c r="F109">
        <f>IF(D109=E109,1,0)</f>
        <v>1</v>
      </c>
      <c r="G109">
        <v>3</v>
      </c>
      <c r="K109">
        <v>3</v>
      </c>
    </row>
    <row r="110" spans="1:11" ht="15.6" x14ac:dyDescent="0.3">
      <c r="A110" s="1" t="s">
        <v>227</v>
      </c>
      <c r="B110" s="1" t="s">
        <v>228</v>
      </c>
      <c r="C110" s="1">
        <v>2020</v>
      </c>
      <c r="D110">
        <v>3</v>
      </c>
      <c r="E110">
        <v>3</v>
      </c>
      <c r="F110">
        <f>IF(D110=E110,1,0)</f>
        <v>1</v>
      </c>
      <c r="G110">
        <v>3</v>
      </c>
      <c r="K110">
        <v>3</v>
      </c>
    </row>
    <row r="111" spans="1:11" ht="15.6" x14ac:dyDescent="0.3">
      <c r="A111" t="s">
        <v>229</v>
      </c>
      <c r="B111" t="s">
        <v>230</v>
      </c>
      <c r="C111" s="1">
        <v>2020</v>
      </c>
      <c r="D111">
        <v>4</v>
      </c>
      <c r="E111">
        <v>4</v>
      </c>
      <c r="F111">
        <f>IF(D111=E111,1,0)</f>
        <v>1</v>
      </c>
      <c r="G111">
        <v>3</v>
      </c>
      <c r="K111">
        <v>4</v>
      </c>
    </row>
    <row r="112" spans="1:11" ht="15.6" x14ac:dyDescent="0.3">
      <c r="A112" s="1" t="s">
        <v>231</v>
      </c>
      <c r="B112" s="1" t="s">
        <v>232</v>
      </c>
      <c r="C112" s="1">
        <v>2020</v>
      </c>
      <c r="D112">
        <v>3</v>
      </c>
      <c r="G112">
        <v>3</v>
      </c>
      <c r="K112">
        <v>3</v>
      </c>
    </row>
    <row r="113" spans="1:11" ht="15.6" x14ac:dyDescent="0.3">
      <c r="A113" s="1" t="s">
        <v>233</v>
      </c>
      <c r="B113" s="1" t="s">
        <v>234</v>
      </c>
      <c r="C113" s="1">
        <v>2020</v>
      </c>
      <c r="G113">
        <v>3</v>
      </c>
      <c r="K113">
        <v>3</v>
      </c>
    </row>
    <row r="114" spans="1:11" ht="15.6" x14ac:dyDescent="0.3">
      <c r="A114" s="1" t="s">
        <v>235</v>
      </c>
      <c r="B114" s="1" t="s">
        <v>236</v>
      </c>
      <c r="C114" s="1">
        <v>2020</v>
      </c>
      <c r="D114">
        <v>3</v>
      </c>
      <c r="E114">
        <v>3</v>
      </c>
      <c r="F114">
        <f>IF(D114=E114,1,0)</f>
        <v>1</v>
      </c>
      <c r="G114">
        <v>3</v>
      </c>
      <c r="K114">
        <v>3</v>
      </c>
    </row>
    <row r="115" spans="1:11" ht="15.6" x14ac:dyDescent="0.3">
      <c r="A115" s="1" t="s">
        <v>237</v>
      </c>
      <c r="B115" s="1" t="s">
        <v>238</v>
      </c>
      <c r="C115" s="1">
        <v>2020</v>
      </c>
      <c r="D115">
        <v>3</v>
      </c>
      <c r="E115">
        <v>3</v>
      </c>
      <c r="F115">
        <f>IF(D115=E115,1,0)</f>
        <v>1</v>
      </c>
      <c r="G115">
        <v>3</v>
      </c>
      <c r="K115">
        <v>3</v>
      </c>
    </row>
    <row r="116" spans="1:11" ht="15.6" x14ac:dyDescent="0.3">
      <c r="A116" s="1" t="s">
        <v>239</v>
      </c>
      <c r="B116" s="1" t="s">
        <v>240</v>
      </c>
      <c r="C116" s="1">
        <v>2020</v>
      </c>
      <c r="D116">
        <v>3</v>
      </c>
      <c r="E116">
        <v>3</v>
      </c>
      <c r="F116">
        <f>IF(D116=E116,1,0)</f>
        <v>1</v>
      </c>
      <c r="G116">
        <v>3</v>
      </c>
      <c r="K116">
        <v>3</v>
      </c>
    </row>
    <row r="117" spans="1:11" ht="15.6" x14ac:dyDescent="0.3">
      <c r="A117" s="1" t="s">
        <v>241</v>
      </c>
      <c r="B117" t="s">
        <v>242</v>
      </c>
      <c r="C117" s="1">
        <v>2020</v>
      </c>
      <c r="D117">
        <v>2</v>
      </c>
      <c r="G117">
        <v>3</v>
      </c>
      <c r="K117">
        <v>3</v>
      </c>
    </row>
    <row r="118" spans="1:11" ht="15.6" x14ac:dyDescent="0.3">
      <c r="A118" s="1" t="s">
        <v>243</v>
      </c>
      <c r="B118" s="1" t="s">
        <v>244</v>
      </c>
      <c r="C118" s="1">
        <v>2020</v>
      </c>
      <c r="G118">
        <v>3</v>
      </c>
      <c r="K118">
        <v>3</v>
      </c>
    </row>
    <row r="119" spans="1:11" ht="15.6" x14ac:dyDescent="0.3">
      <c r="A119" s="1" t="s">
        <v>245</v>
      </c>
      <c r="B119" s="1" t="s">
        <v>246</v>
      </c>
      <c r="C119" s="1">
        <v>2020</v>
      </c>
      <c r="D119">
        <v>3</v>
      </c>
      <c r="E119">
        <v>3</v>
      </c>
      <c r="F119">
        <f>IF(D119=E119,1,0)</f>
        <v>1</v>
      </c>
      <c r="G119">
        <v>3</v>
      </c>
      <c r="K119">
        <v>3</v>
      </c>
    </row>
    <row r="120" spans="1:11" ht="15.6" x14ac:dyDescent="0.3">
      <c r="A120" s="1" t="s">
        <v>247</v>
      </c>
      <c r="B120" s="1" t="s">
        <v>248</v>
      </c>
      <c r="C120" s="1">
        <v>2020</v>
      </c>
      <c r="D120">
        <v>2</v>
      </c>
      <c r="G120">
        <v>2</v>
      </c>
      <c r="K120">
        <v>2</v>
      </c>
    </row>
    <row r="121" spans="1:11" ht="15.6" x14ac:dyDescent="0.3">
      <c r="A121" s="1" t="s">
        <v>249</v>
      </c>
      <c r="B121" s="1" t="s">
        <v>250</v>
      </c>
      <c r="C121" s="1">
        <v>2020</v>
      </c>
      <c r="D121">
        <v>3</v>
      </c>
      <c r="E121">
        <v>3</v>
      </c>
      <c r="F121">
        <f>IF(D121=E121,1,0)</f>
        <v>1</v>
      </c>
      <c r="G121">
        <v>3</v>
      </c>
      <c r="K121">
        <v>3</v>
      </c>
    </row>
    <row r="122" spans="1:11" ht="15.6" x14ac:dyDescent="0.3">
      <c r="A122" s="1" t="s">
        <v>251</v>
      </c>
      <c r="B122" s="1" t="s">
        <v>252</v>
      </c>
      <c r="C122" s="1">
        <v>2020</v>
      </c>
      <c r="D122">
        <v>3</v>
      </c>
      <c r="E122">
        <v>3</v>
      </c>
      <c r="F122">
        <f>IF(D122=E122,1,0)</f>
        <v>1</v>
      </c>
      <c r="G122">
        <v>3</v>
      </c>
      <c r="K122">
        <v>3</v>
      </c>
    </row>
    <row r="123" spans="1:11" ht="15.6" x14ac:dyDescent="0.3">
      <c r="A123" s="1" t="s">
        <v>253</v>
      </c>
      <c r="B123" s="1" t="s">
        <v>254</v>
      </c>
      <c r="C123" s="1">
        <v>2020</v>
      </c>
      <c r="D123">
        <v>4</v>
      </c>
      <c r="E123">
        <v>4</v>
      </c>
      <c r="F123">
        <f>IF(D123=E123,1,0)</f>
        <v>1</v>
      </c>
      <c r="G123">
        <v>4</v>
      </c>
      <c r="K123">
        <v>4</v>
      </c>
    </row>
    <row r="124" spans="1:11" ht="15.6" x14ac:dyDescent="0.3">
      <c r="A124" s="1" t="s">
        <v>255</v>
      </c>
      <c r="B124" s="1" t="s">
        <v>256</v>
      </c>
      <c r="C124" s="1">
        <v>2020</v>
      </c>
      <c r="D124">
        <v>3</v>
      </c>
      <c r="E124">
        <v>3</v>
      </c>
      <c r="F124">
        <f>IF(D124=E124,1,0)</f>
        <v>1</v>
      </c>
      <c r="G124">
        <v>4</v>
      </c>
      <c r="K124">
        <v>3</v>
      </c>
    </row>
    <row r="125" spans="1:11" ht="15.6" x14ac:dyDescent="0.3">
      <c r="A125" s="1" t="s">
        <v>257</v>
      </c>
      <c r="B125" t="s">
        <v>258</v>
      </c>
      <c r="C125" s="1">
        <v>2020</v>
      </c>
    </row>
    <row r="126" spans="1:11" ht="15.6" x14ac:dyDescent="0.3">
      <c r="A126" s="1" t="s">
        <v>259</v>
      </c>
      <c r="B126" s="1" t="s">
        <v>260</v>
      </c>
      <c r="C126" s="1">
        <v>2020</v>
      </c>
      <c r="D126">
        <v>3</v>
      </c>
      <c r="E126">
        <v>3</v>
      </c>
      <c r="F126">
        <f>IF(D126=E126,1,0)</f>
        <v>1</v>
      </c>
      <c r="G126">
        <v>3</v>
      </c>
      <c r="K126">
        <v>3</v>
      </c>
    </row>
    <row r="127" spans="1:11" ht="15.6" x14ac:dyDescent="0.3">
      <c r="A127" s="1" t="s">
        <v>261</v>
      </c>
      <c r="B127" s="1" t="s">
        <v>262</v>
      </c>
      <c r="C127" s="1">
        <v>2020</v>
      </c>
      <c r="D127">
        <v>2</v>
      </c>
      <c r="G127">
        <v>2</v>
      </c>
      <c r="K127">
        <v>2</v>
      </c>
    </row>
    <row r="128" spans="1:11" ht="15.6" x14ac:dyDescent="0.3">
      <c r="A128" s="1" t="s">
        <v>263</v>
      </c>
      <c r="B128" s="1" t="s">
        <v>264</v>
      </c>
      <c r="C128" s="1">
        <v>2018</v>
      </c>
      <c r="G128">
        <v>3</v>
      </c>
      <c r="K128">
        <v>3</v>
      </c>
    </row>
    <row r="129" spans="1:11" ht="15.6" x14ac:dyDescent="0.3">
      <c r="A129" s="1" t="s">
        <v>265</v>
      </c>
      <c r="B129" s="1" t="s">
        <v>266</v>
      </c>
      <c r="C129" s="1">
        <v>2018</v>
      </c>
      <c r="D129">
        <v>3</v>
      </c>
      <c r="G129">
        <v>3</v>
      </c>
      <c r="K129">
        <v>3</v>
      </c>
    </row>
    <row r="130" spans="1:11" ht="15.6" x14ac:dyDescent="0.3">
      <c r="A130" s="1" t="s">
        <v>267</v>
      </c>
      <c r="B130" s="1" t="s">
        <v>268</v>
      </c>
      <c r="C130" s="1">
        <v>2018</v>
      </c>
      <c r="D130">
        <v>2</v>
      </c>
      <c r="E130">
        <v>2</v>
      </c>
      <c r="F130">
        <f>IF(D130=E130,1,0)</f>
        <v>1</v>
      </c>
      <c r="G130">
        <v>2</v>
      </c>
      <c r="K130">
        <v>2</v>
      </c>
    </row>
    <row r="131" spans="1:11" ht="15.6" x14ac:dyDescent="0.3">
      <c r="A131" s="1" t="s">
        <v>269</v>
      </c>
      <c r="B131" s="1" t="s">
        <v>270</v>
      </c>
      <c r="C131" s="1">
        <v>2018</v>
      </c>
      <c r="G131">
        <v>4</v>
      </c>
      <c r="K131">
        <v>4</v>
      </c>
    </row>
    <row r="132" spans="1:11" ht="15.6" x14ac:dyDescent="0.3">
      <c r="A132" s="1" t="s">
        <v>271</v>
      </c>
      <c r="B132" s="1" t="s">
        <v>272</v>
      </c>
      <c r="C132" s="1">
        <v>2018</v>
      </c>
      <c r="D132">
        <v>3</v>
      </c>
      <c r="E132">
        <v>3</v>
      </c>
      <c r="F132">
        <f t="shared" ref="F132:F137" si="15">IF(D132=E132,1,0)</f>
        <v>1</v>
      </c>
      <c r="G132">
        <v>3</v>
      </c>
      <c r="K132">
        <v>3</v>
      </c>
    </row>
    <row r="133" spans="1:11" ht="15.6" x14ac:dyDescent="0.3">
      <c r="A133" s="1" t="s">
        <v>273</v>
      </c>
      <c r="B133" s="1" t="s">
        <v>274</v>
      </c>
      <c r="C133" s="1">
        <v>2018</v>
      </c>
      <c r="D133">
        <v>3</v>
      </c>
      <c r="E133">
        <v>3</v>
      </c>
      <c r="F133">
        <f t="shared" si="15"/>
        <v>1</v>
      </c>
      <c r="G133">
        <v>3</v>
      </c>
      <c r="K133">
        <v>3</v>
      </c>
    </row>
    <row r="134" spans="1:11" ht="15.6" x14ac:dyDescent="0.3">
      <c r="A134" s="1" t="s">
        <v>275</v>
      </c>
      <c r="B134" s="1" t="s">
        <v>276</v>
      </c>
      <c r="C134" s="1">
        <v>2018</v>
      </c>
      <c r="D134">
        <v>3</v>
      </c>
      <c r="E134">
        <v>3</v>
      </c>
      <c r="F134">
        <f t="shared" si="15"/>
        <v>1</v>
      </c>
      <c r="G134">
        <v>3</v>
      </c>
      <c r="K134">
        <v>3</v>
      </c>
    </row>
    <row r="135" spans="1:11" ht="15.6" x14ac:dyDescent="0.3">
      <c r="A135" s="1" t="s">
        <v>277</v>
      </c>
      <c r="B135" s="1" t="s">
        <v>278</v>
      </c>
      <c r="C135" s="1">
        <v>2018</v>
      </c>
      <c r="D135">
        <v>2</v>
      </c>
      <c r="E135">
        <v>3</v>
      </c>
      <c r="F135">
        <f t="shared" si="15"/>
        <v>0</v>
      </c>
      <c r="G135">
        <v>3</v>
      </c>
      <c r="H135">
        <v>3</v>
      </c>
      <c r="I135">
        <v>3</v>
      </c>
      <c r="J135">
        <f t="shared" ref="J135:J137" si="16">IF(H135=I135, 1, 0)</f>
        <v>1</v>
      </c>
      <c r="K135">
        <v>3</v>
      </c>
    </row>
    <row r="136" spans="1:11" ht="15.6" x14ac:dyDescent="0.3">
      <c r="A136" s="1" t="s">
        <v>279</v>
      </c>
      <c r="B136" s="1" t="s">
        <v>280</v>
      </c>
      <c r="C136" s="1">
        <v>2018</v>
      </c>
      <c r="D136">
        <v>2</v>
      </c>
      <c r="E136">
        <v>2</v>
      </c>
      <c r="F136">
        <f t="shared" si="15"/>
        <v>1</v>
      </c>
      <c r="G136">
        <v>2</v>
      </c>
      <c r="K136">
        <v>2</v>
      </c>
    </row>
    <row r="137" spans="1:11" ht="15.6" x14ac:dyDescent="0.3">
      <c r="A137" s="1" t="s">
        <v>281</v>
      </c>
      <c r="B137" s="1" t="s">
        <v>282</v>
      </c>
      <c r="C137" s="1">
        <v>2018</v>
      </c>
      <c r="D137">
        <v>4</v>
      </c>
      <c r="E137">
        <v>3</v>
      </c>
      <c r="F137">
        <f t="shared" si="15"/>
        <v>0</v>
      </c>
      <c r="G137">
        <v>4</v>
      </c>
      <c r="H137">
        <v>4</v>
      </c>
      <c r="I137">
        <v>4</v>
      </c>
      <c r="J137">
        <f t="shared" si="16"/>
        <v>1</v>
      </c>
      <c r="K137">
        <v>4</v>
      </c>
    </row>
    <row r="138" spans="1:11" ht="15.6" x14ac:dyDescent="0.3">
      <c r="A138" s="1" t="s">
        <v>283</v>
      </c>
      <c r="B138" s="1" t="s">
        <v>284</v>
      </c>
      <c r="C138" s="1">
        <v>2018</v>
      </c>
      <c r="E138">
        <v>3</v>
      </c>
      <c r="G138">
        <v>3</v>
      </c>
      <c r="K138">
        <v>3</v>
      </c>
    </row>
    <row r="139" spans="1:11" ht="15.6" x14ac:dyDescent="0.3">
      <c r="A139" s="1" t="s">
        <v>285</v>
      </c>
      <c r="B139" s="1" t="s">
        <v>286</v>
      </c>
      <c r="C139" s="1">
        <v>2018</v>
      </c>
      <c r="D139">
        <v>3</v>
      </c>
      <c r="E139">
        <v>3</v>
      </c>
      <c r="F139">
        <f>IF(D139=E139,1,0)</f>
        <v>1</v>
      </c>
      <c r="G139">
        <v>3</v>
      </c>
      <c r="K139">
        <v>3</v>
      </c>
    </row>
    <row r="140" spans="1:11" ht="15.6" x14ac:dyDescent="0.3">
      <c r="A140" s="1" t="s">
        <v>287</v>
      </c>
      <c r="B140" s="1" t="s">
        <v>288</v>
      </c>
      <c r="C140" s="1">
        <v>2018</v>
      </c>
      <c r="D140">
        <v>3</v>
      </c>
      <c r="E140">
        <v>3</v>
      </c>
      <c r="F140">
        <f>IF(D140=E140,1,0)</f>
        <v>1</v>
      </c>
      <c r="G140">
        <v>4</v>
      </c>
      <c r="K140">
        <v>3</v>
      </c>
    </row>
    <row r="141" spans="1:11" ht="15.6" x14ac:dyDescent="0.3">
      <c r="A141" s="1" t="s">
        <v>289</v>
      </c>
      <c r="B141" s="1" t="s">
        <v>290</v>
      </c>
      <c r="C141" s="1">
        <v>2018</v>
      </c>
      <c r="D141">
        <v>3</v>
      </c>
      <c r="E141">
        <v>3</v>
      </c>
      <c r="F141">
        <f>IF(D141=E141,1,0)</f>
        <v>1</v>
      </c>
      <c r="G141">
        <v>3</v>
      </c>
      <c r="K141">
        <v>3</v>
      </c>
    </row>
    <row r="142" spans="1:11" ht="15.6" x14ac:dyDescent="0.3">
      <c r="A142" s="1" t="s">
        <v>291</v>
      </c>
      <c r="B142" s="1" t="s">
        <v>292</v>
      </c>
      <c r="C142" s="1">
        <v>2018</v>
      </c>
      <c r="D142">
        <v>3</v>
      </c>
      <c r="E142">
        <v>3</v>
      </c>
      <c r="F142">
        <f>IF(D142=E142,1,0)</f>
        <v>1</v>
      </c>
      <c r="G142">
        <v>3</v>
      </c>
      <c r="K142">
        <v>3</v>
      </c>
    </row>
    <row r="143" spans="1:11" ht="15.6" x14ac:dyDescent="0.3">
      <c r="A143" s="1" t="s">
        <v>293</v>
      </c>
      <c r="B143" s="1" t="s">
        <v>294</v>
      </c>
      <c r="C143" s="1">
        <v>2018</v>
      </c>
      <c r="D143">
        <v>3</v>
      </c>
      <c r="E143">
        <v>3</v>
      </c>
      <c r="F143">
        <f>IF(D143=E143,1,0)</f>
        <v>1</v>
      </c>
      <c r="G143">
        <v>2</v>
      </c>
      <c r="K143">
        <v>2</v>
      </c>
    </row>
    <row r="144" spans="1:11" ht="15.6" x14ac:dyDescent="0.3">
      <c r="A144" s="1" t="s">
        <v>295</v>
      </c>
      <c r="B144" s="1" t="s">
        <v>296</v>
      </c>
      <c r="C144" s="1">
        <v>2018</v>
      </c>
      <c r="G144">
        <v>3</v>
      </c>
      <c r="K144">
        <v>3</v>
      </c>
    </row>
    <row r="145" spans="1:11" ht="15.6" x14ac:dyDescent="0.3">
      <c r="A145" s="1" t="s">
        <v>297</v>
      </c>
      <c r="B145" s="1" t="s">
        <v>298</v>
      </c>
      <c r="C145" s="1">
        <v>2018</v>
      </c>
      <c r="E145">
        <v>2</v>
      </c>
      <c r="G145">
        <v>3</v>
      </c>
      <c r="K145">
        <v>3</v>
      </c>
    </row>
    <row r="146" spans="1:11" ht="15.6" x14ac:dyDescent="0.3">
      <c r="A146" s="1" t="s">
        <v>299</v>
      </c>
      <c r="B146" s="1" t="s">
        <v>300</v>
      </c>
      <c r="C146" s="1">
        <v>2018</v>
      </c>
      <c r="D146" s="1">
        <v>3</v>
      </c>
      <c r="E146">
        <v>3</v>
      </c>
      <c r="F146">
        <f>IF(D146=E146,1,0)</f>
        <v>1</v>
      </c>
      <c r="G146">
        <v>3</v>
      </c>
      <c r="K146">
        <v>3</v>
      </c>
    </row>
    <row r="147" spans="1:11" ht="15.6" x14ac:dyDescent="0.3">
      <c r="A147" s="1" t="s">
        <v>301</v>
      </c>
      <c r="B147" s="1" t="s">
        <v>302</v>
      </c>
      <c r="C147" s="1">
        <v>2018</v>
      </c>
      <c r="D147">
        <v>3</v>
      </c>
      <c r="E147">
        <v>3</v>
      </c>
      <c r="F147">
        <f>IF(D147=E147,1,0)</f>
        <v>1</v>
      </c>
      <c r="G147">
        <v>3</v>
      </c>
      <c r="K147">
        <v>3</v>
      </c>
    </row>
    <row r="148" spans="1:11" ht="15.6" x14ac:dyDescent="0.3">
      <c r="A148" s="1" t="s">
        <v>303</v>
      </c>
      <c r="B148" s="1" t="s">
        <v>304</v>
      </c>
      <c r="C148" s="1">
        <v>2018</v>
      </c>
      <c r="D148">
        <v>2</v>
      </c>
      <c r="E148">
        <v>2</v>
      </c>
      <c r="F148">
        <f>IF(D148=E148,1,0)</f>
        <v>1</v>
      </c>
      <c r="G148">
        <v>2</v>
      </c>
      <c r="K148">
        <v>2</v>
      </c>
    </row>
    <row r="149" spans="1:11" ht="15.6" x14ac:dyDescent="0.3">
      <c r="A149" s="1" t="s">
        <v>305</v>
      </c>
      <c r="B149" s="1" t="s">
        <v>306</v>
      </c>
      <c r="C149" s="1">
        <v>2018</v>
      </c>
      <c r="D149">
        <v>3</v>
      </c>
      <c r="E149">
        <v>3</v>
      </c>
      <c r="F149">
        <f>IF(D149=E149,1,0)</f>
        <v>1</v>
      </c>
      <c r="G149">
        <v>3</v>
      </c>
      <c r="K149">
        <v>3</v>
      </c>
    </row>
    <row r="150" spans="1:11" ht="15.6" x14ac:dyDescent="0.3">
      <c r="A150" s="1" t="s">
        <v>307</v>
      </c>
      <c r="B150" s="1" t="s">
        <v>308</v>
      </c>
      <c r="C150" s="1">
        <v>2018</v>
      </c>
      <c r="D150">
        <v>3</v>
      </c>
      <c r="E150">
        <v>3</v>
      </c>
      <c r="F150">
        <f>IF(D150=E150,1,0)</f>
        <v>1</v>
      </c>
      <c r="G150">
        <v>3</v>
      </c>
      <c r="K150">
        <v>3</v>
      </c>
    </row>
    <row r="151" spans="1:11" ht="15.6" x14ac:dyDescent="0.3">
      <c r="A151" s="1" t="s">
        <v>309</v>
      </c>
      <c r="B151" s="1" t="s">
        <v>310</v>
      </c>
      <c r="C151" s="1">
        <v>2018</v>
      </c>
    </row>
    <row r="152" spans="1:11" ht="15.6" x14ac:dyDescent="0.3">
      <c r="A152" s="1" t="s">
        <v>311</v>
      </c>
      <c r="B152" s="1" t="s">
        <v>312</v>
      </c>
      <c r="C152" s="1">
        <v>2018</v>
      </c>
    </row>
    <row r="153" spans="1:11" ht="15.6" x14ac:dyDescent="0.3">
      <c r="A153" s="1" t="s">
        <v>313</v>
      </c>
      <c r="B153" s="1" t="s">
        <v>314</v>
      </c>
      <c r="C153" s="1">
        <v>2018</v>
      </c>
      <c r="D153">
        <v>3</v>
      </c>
      <c r="E153">
        <v>3</v>
      </c>
      <c r="F153">
        <f>IF(D153=E153,1,0)</f>
        <v>1</v>
      </c>
      <c r="G153">
        <v>3</v>
      </c>
      <c r="K153">
        <v>3</v>
      </c>
    </row>
    <row r="154" spans="1:11" ht="15.6" x14ac:dyDescent="0.3">
      <c r="A154" s="1" t="s">
        <v>315</v>
      </c>
      <c r="B154" s="1" t="s">
        <v>316</v>
      </c>
      <c r="C154" s="1">
        <v>2018</v>
      </c>
      <c r="G154">
        <v>3</v>
      </c>
      <c r="K154">
        <v>3</v>
      </c>
    </row>
    <row r="155" spans="1:11" ht="15.6" x14ac:dyDescent="0.3">
      <c r="A155" s="1" t="s">
        <v>317</v>
      </c>
      <c r="B155" s="1" t="s">
        <v>318</v>
      </c>
      <c r="C155" s="1">
        <v>2018</v>
      </c>
      <c r="E155">
        <v>3</v>
      </c>
      <c r="G155">
        <v>3</v>
      </c>
      <c r="K155">
        <v>3</v>
      </c>
    </row>
    <row r="156" spans="1:11" ht="15.6" x14ac:dyDescent="0.3">
      <c r="A156" s="1" t="s">
        <v>319</v>
      </c>
      <c r="B156" s="1" t="s">
        <v>320</v>
      </c>
      <c r="C156" s="1">
        <v>2018</v>
      </c>
      <c r="D156">
        <v>3</v>
      </c>
      <c r="E156">
        <v>3</v>
      </c>
      <c r="F156">
        <f>IF(D156=E156,1,0)</f>
        <v>1</v>
      </c>
      <c r="G156">
        <v>4</v>
      </c>
      <c r="K156">
        <v>3</v>
      </c>
    </row>
    <row r="157" spans="1:11" ht="15.6" x14ac:dyDescent="0.3">
      <c r="A157" s="1" t="s">
        <v>321</v>
      </c>
      <c r="B157" s="1" t="s">
        <v>322</v>
      </c>
      <c r="C157" s="1">
        <v>2018</v>
      </c>
      <c r="E157">
        <v>3</v>
      </c>
      <c r="G157">
        <v>3</v>
      </c>
      <c r="K157">
        <v>3</v>
      </c>
    </row>
    <row r="158" spans="1:11" ht="15.6" x14ac:dyDescent="0.3">
      <c r="A158" s="1" t="s">
        <v>323</v>
      </c>
      <c r="B158" s="1" t="s">
        <v>324</v>
      </c>
      <c r="C158" s="1">
        <v>2018</v>
      </c>
      <c r="D158">
        <v>3</v>
      </c>
      <c r="E158">
        <v>3</v>
      </c>
      <c r="F158">
        <f t="shared" ref="F158:F163" si="17">IF(D158=E158,1,0)</f>
        <v>1</v>
      </c>
      <c r="G158">
        <v>3</v>
      </c>
      <c r="K158">
        <v>3</v>
      </c>
    </row>
    <row r="159" spans="1:11" ht="15.6" x14ac:dyDescent="0.3">
      <c r="A159" s="1" t="s">
        <v>325</v>
      </c>
      <c r="B159" s="1" t="s">
        <v>326</v>
      </c>
      <c r="C159" s="1">
        <v>2018</v>
      </c>
      <c r="D159">
        <v>2</v>
      </c>
      <c r="E159">
        <v>2</v>
      </c>
      <c r="F159">
        <f t="shared" si="17"/>
        <v>1</v>
      </c>
      <c r="G159">
        <v>2</v>
      </c>
      <c r="K159">
        <v>2</v>
      </c>
    </row>
    <row r="160" spans="1:11" ht="15.6" x14ac:dyDescent="0.3">
      <c r="A160" s="1" t="s">
        <v>327</v>
      </c>
      <c r="B160" s="1" t="s">
        <v>328</v>
      </c>
      <c r="C160" s="1">
        <v>2018</v>
      </c>
      <c r="D160">
        <v>3</v>
      </c>
      <c r="E160">
        <v>3</v>
      </c>
      <c r="F160">
        <f t="shared" si="17"/>
        <v>1</v>
      </c>
      <c r="G160">
        <v>3</v>
      </c>
      <c r="K160">
        <v>3</v>
      </c>
    </row>
    <row r="161" spans="1:11" ht="15.6" x14ac:dyDescent="0.3">
      <c r="A161" s="1" t="s">
        <v>329</v>
      </c>
      <c r="B161" s="1" t="s">
        <v>330</v>
      </c>
      <c r="C161" s="1">
        <v>2018</v>
      </c>
      <c r="D161">
        <v>3</v>
      </c>
      <c r="E161">
        <v>3</v>
      </c>
      <c r="F161">
        <f t="shared" si="17"/>
        <v>1</v>
      </c>
      <c r="G161">
        <v>3</v>
      </c>
      <c r="K161">
        <v>3</v>
      </c>
    </row>
    <row r="162" spans="1:11" ht="15.6" x14ac:dyDescent="0.3">
      <c r="A162" s="1" t="s">
        <v>331</v>
      </c>
      <c r="B162" s="1" t="s">
        <v>332</v>
      </c>
      <c r="C162" s="1">
        <v>2018</v>
      </c>
      <c r="D162">
        <v>2</v>
      </c>
      <c r="E162">
        <v>2</v>
      </c>
      <c r="F162">
        <f t="shared" si="17"/>
        <v>1</v>
      </c>
      <c r="G162">
        <v>2</v>
      </c>
      <c r="K162">
        <v>2</v>
      </c>
    </row>
    <row r="163" spans="1:11" ht="15.6" x14ac:dyDescent="0.3">
      <c r="A163" s="1" t="s">
        <v>333</v>
      </c>
      <c r="B163" s="1" t="s">
        <v>334</v>
      </c>
      <c r="C163" s="1">
        <v>2018</v>
      </c>
      <c r="D163">
        <v>2</v>
      </c>
      <c r="E163">
        <v>3</v>
      </c>
      <c r="F163">
        <f t="shared" si="17"/>
        <v>0</v>
      </c>
      <c r="G163">
        <v>2</v>
      </c>
      <c r="H163">
        <v>3</v>
      </c>
      <c r="I163">
        <v>2</v>
      </c>
      <c r="J163">
        <f t="shared" ref="J163" si="18">IF(H163=I163, 1, 0)</f>
        <v>0</v>
      </c>
    </row>
    <row r="164" spans="1:11" ht="12" customHeight="1" x14ac:dyDescent="0.3">
      <c r="A164" s="1" t="s">
        <v>335</v>
      </c>
      <c r="B164" s="1" t="s">
        <v>336</v>
      </c>
      <c r="C164" s="1">
        <v>2018</v>
      </c>
      <c r="G164">
        <v>3</v>
      </c>
    </row>
    <row r="165" spans="1:11" ht="15.6" x14ac:dyDescent="0.3">
      <c r="A165" s="1" t="s">
        <v>337</v>
      </c>
      <c r="B165" s="1" t="s">
        <v>338</v>
      </c>
      <c r="C165" s="1">
        <v>2018</v>
      </c>
      <c r="D165">
        <v>3</v>
      </c>
      <c r="E165">
        <v>3</v>
      </c>
      <c r="F165">
        <f>IF(D165=E165,1,0)</f>
        <v>1</v>
      </c>
      <c r="G165">
        <v>3</v>
      </c>
      <c r="K165">
        <v>3</v>
      </c>
    </row>
    <row r="166" spans="1:11" ht="40.049999999999997" customHeight="1" x14ac:dyDescent="0.3">
      <c r="A166" s="1" t="s">
        <v>339</v>
      </c>
      <c r="B166" s="1" t="s">
        <v>340</v>
      </c>
      <c r="C166" s="1">
        <v>2018</v>
      </c>
      <c r="D166">
        <v>3</v>
      </c>
      <c r="E166">
        <v>3</v>
      </c>
      <c r="F166">
        <f>IF(D166=E166,1,0)</f>
        <v>1</v>
      </c>
      <c r="G166">
        <v>3</v>
      </c>
      <c r="K166">
        <v>3</v>
      </c>
    </row>
    <row r="167" spans="1:11" ht="27" customHeight="1" x14ac:dyDescent="0.3">
      <c r="A167" s="1" t="s">
        <v>341</v>
      </c>
      <c r="B167" s="1" t="s">
        <v>342</v>
      </c>
      <c r="C167" s="1">
        <v>2018</v>
      </c>
      <c r="D167">
        <v>2</v>
      </c>
      <c r="G167">
        <v>2</v>
      </c>
      <c r="K167">
        <v>2</v>
      </c>
    </row>
    <row r="168" spans="1:11" ht="15.6" x14ac:dyDescent="0.3">
      <c r="A168" s="1" t="s">
        <v>343</v>
      </c>
      <c r="B168" s="1" t="s">
        <v>344</v>
      </c>
      <c r="C168" s="1">
        <v>2018</v>
      </c>
      <c r="D168">
        <v>3</v>
      </c>
      <c r="E168">
        <v>3</v>
      </c>
      <c r="F168">
        <f>IF(D168=E168,1,0)</f>
        <v>1</v>
      </c>
      <c r="G168">
        <v>3</v>
      </c>
      <c r="K168">
        <v>3</v>
      </c>
    </row>
    <row r="169" spans="1:11" ht="15.6" x14ac:dyDescent="0.3">
      <c r="A169" s="1" t="s">
        <v>345</v>
      </c>
      <c r="B169" s="1" t="s">
        <v>346</v>
      </c>
      <c r="C169" s="1">
        <v>2018</v>
      </c>
      <c r="D169">
        <v>3</v>
      </c>
      <c r="E169">
        <v>3</v>
      </c>
      <c r="F169">
        <f>IF(D169=E169,1,0)</f>
        <v>1</v>
      </c>
      <c r="G169">
        <v>3</v>
      </c>
      <c r="K169">
        <v>3</v>
      </c>
    </row>
    <row r="170" spans="1:11" ht="15.6" x14ac:dyDescent="0.3">
      <c r="A170" s="1" t="s">
        <v>347</v>
      </c>
      <c r="B170" s="1" t="s">
        <v>348</v>
      </c>
      <c r="C170" s="1">
        <v>2018</v>
      </c>
      <c r="D170">
        <v>3</v>
      </c>
      <c r="E170">
        <v>3</v>
      </c>
      <c r="F170">
        <f>IF(D170=E170,1,0)</f>
        <v>1</v>
      </c>
      <c r="G170">
        <v>3</v>
      </c>
      <c r="K170">
        <v>3</v>
      </c>
    </row>
    <row r="171" spans="1:11" ht="15.6" x14ac:dyDescent="0.3">
      <c r="A171" s="1" t="s">
        <v>349</v>
      </c>
      <c r="B171" s="1" t="s">
        <v>350</v>
      </c>
      <c r="C171" s="1">
        <v>2018</v>
      </c>
      <c r="G171">
        <v>2</v>
      </c>
      <c r="K171">
        <v>2</v>
      </c>
    </row>
    <row r="172" spans="1:11" ht="15.6" x14ac:dyDescent="0.3">
      <c r="A172" s="1" t="s">
        <v>351</v>
      </c>
      <c r="B172" s="1" t="s">
        <v>352</v>
      </c>
      <c r="C172" s="1">
        <v>2018</v>
      </c>
      <c r="G172">
        <v>3</v>
      </c>
      <c r="K172">
        <v>3</v>
      </c>
    </row>
    <row r="173" spans="1:11" ht="15.6" x14ac:dyDescent="0.3">
      <c r="A173" s="1" t="s">
        <v>353</v>
      </c>
      <c r="B173" s="1" t="s">
        <v>354</v>
      </c>
      <c r="C173" s="1">
        <v>2018</v>
      </c>
      <c r="G173">
        <v>3</v>
      </c>
      <c r="K173">
        <v>3</v>
      </c>
    </row>
    <row r="174" spans="1:11" ht="15.6" x14ac:dyDescent="0.3">
      <c r="A174" s="1" t="s">
        <v>355</v>
      </c>
      <c r="B174" s="1" t="s">
        <v>356</v>
      </c>
      <c r="C174" s="1">
        <v>2018</v>
      </c>
      <c r="D174">
        <v>3</v>
      </c>
      <c r="E174">
        <v>3</v>
      </c>
      <c r="F174">
        <f>IF(D174=E174,1,0)</f>
        <v>1</v>
      </c>
      <c r="G174">
        <v>2</v>
      </c>
      <c r="K174">
        <v>3</v>
      </c>
    </row>
    <row r="175" spans="1:11" ht="15.6" x14ac:dyDescent="0.3">
      <c r="A175" s="1" t="s">
        <v>357</v>
      </c>
      <c r="B175" s="1" t="s">
        <v>358</v>
      </c>
      <c r="C175" s="1">
        <v>2018</v>
      </c>
      <c r="D175">
        <v>3</v>
      </c>
      <c r="E175">
        <v>3</v>
      </c>
      <c r="F175">
        <f>IF(D175=E175,1,0)</f>
        <v>1</v>
      </c>
      <c r="G175">
        <v>3</v>
      </c>
      <c r="K175">
        <v>3</v>
      </c>
    </row>
    <row r="176" spans="1:11" ht="15.6" x14ac:dyDescent="0.3">
      <c r="A176" s="1" t="s">
        <v>359</v>
      </c>
      <c r="B176" s="1" t="s">
        <v>360</v>
      </c>
      <c r="C176" s="1">
        <v>2018</v>
      </c>
      <c r="D176">
        <v>3</v>
      </c>
      <c r="E176">
        <v>2</v>
      </c>
      <c r="F176">
        <f>IF(D176=E176,1,0)</f>
        <v>0</v>
      </c>
      <c r="G176">
        <v>2</v>
      </c>
      <c r="H176">
        <v>2</v>
      </c>
      <c r="I176">
        <v>2</v>
      </c>
      <c r="J176">
        <f t="shared" ref="J176:J179" si="19">IF(H176=I176, 1, 0)</f>
        <v>1</v>
      </c>
      <c r="K176">
        <v>2</v>
      </c>
    </row>
    <row r="177" spans="1:11" ht="24" customHeight="1" x14ac:dyDescent="0.3">
      <c r="A177" s="1" t="s">
        <v>361</v>
      </c>
      <c r="B177" s="1" t="s">
        <v>362</v>
      </c>
      <c r="C177" s="1">
        <v>2017</v>
      </c>
      <c r="D177">
        <v>2</v>
      </c>
      <c r="G177">
        <v>3</v>
      </c>
      <c r="K177">
        <v>3</v>
      </c>
    </row>
    <row r="178" spans="1:11" ht="28.95" customHeight="1" x14ac:dyDescent="0.3">
      <c r="A178" s="1" t="s">
        <v>363</v>
      </c>
      <c r="B178" s="1" t="s">
        <v>364</v>
      </c>
      <c r="C178" s="1">
        <v>2017</v>
      </c>
      <c r="G178">
        <v>3</v>
      </c>
      <c r="K178">
        <v>3</v>
      </c>
    </row>
    <row r="179" spans="1:11" ht="15.6" x14ac:dyDescent="0.3">
      <c r="A179" s="1" t="s">
        <v>365</v>
      </c>
      <c r="B179" s="1" t="s">
        <v>366</v>
      </c>
      <c r="C179" s="1">
        <v>2017</v>
      </c>
      <c r="D179">
        <v>2</v>
      </c>
      <c r="E179">
        <v>3</v>
      </c>
      <c r="F179">
        <f>IF(D179=E179,1,0)</f>
        <v>0</v>
      </c>
      <c r="G179">
        <v>3</v>
      </c>
      <c r="H179">
        <v>3</v>
      </c>
      <c r="I179">
        <v>3</v>
      </c>
      <c r="J179">
        <f t="shared" si="19"/>
        <v>1</v>
      </c>
      <c r="K179">
        <v>3</v>
      </c>
    </row>
    <row r="180" spans="1:11" ht="15.6" x14ac:dyDescent="0.3">
      <c r="A180" s="1" t="s">
        <v>367</v>
      </c>
      <c r="B180" s="1" t="s">
        <v>368</v>
      </c>
      <c r="C180" s="1">
        <v>2017</v>
      </c>
      <c r="D180">
        <v>2</v>
      </c>
      <c r="E180">
        <v>2</v>
      </c>
      <c r="F180">
        <f>IF(D180=E180,1,0)</f>
        <v>1</v>
      </c>
      <c r="G180">
        <v>2</v>
      </c>
      <c r="K180">
        <v>2</v>
      </c>
    </row>
    <row r="181" spans="1:11" ht="15.6" x14ac:dyDescent="0.3">
      <c r="A181" s="1" t="s">
        <v>369</v>
      </c>
      <c r="B181" s="1" t="s">
        <v>370</v>
      </c>
      <c r="C181" s="1">
        <v>2017</v>
      </c>
      <c r="G181">
        <v>3</v>
      </c>
      <c r="K181">
        <v>3</v>
      </c>
    </row>
    <row r="182" spans="1:11" ht="15.6" x14ac:dyDescent="0.3">
      <c r="A182" s="1" t="s">
        <v>371</v>
      </c>
      <c r="B182" s="1" t="s">
        <v>372</v>
      </c>
      <c r="C182" s="1">
        <v>2017</v>
      </c>
      <c r="D182">
        <v>3</v>
      </c>
      <c r="G182">
        <v>3</v>
      </c>
      <c r="K182">
        <v>3</v>
      </c>
    </row>
    <row r="183" spans="1:11" ht="15.6" x14ac:dyDescent="0.3">
      <c r="A183" s="1" t="s">
        <v>373</v>
      </c>
      <c r="B183" s="1" t="s">
        <v>374</v>
      </c>
      <c r="C183" s="1">
        <v>2017</v>
      </c>
      <c r="D183">
        <v>2</v>
      </c>
      <c r="E183">
        <v>3</v>
      </c>
      <c r="F183">
        <f>IF(D183=E183,1,0)</f>
        <v>0</v>
      </c>
      <c r="G183">
        <v>3</v>
      </c>
      <c r="H183">
        <v>3</v>
      </c>
      <c r="I183">
        <v>3</v>
      </c>
      <c r="J183">
        <f t="shared" ref="J183:J184" si="20">IF(H183=I183, 1, 0)</f>
        <v>1</v>
      </c>
      <c r="K183">
        <v>3</v>
      </c>
    </row>
    <row r="184" spans="1:11" ht="15.6" x14ac:dyDescent="0.3">
      <c r="A184" s="1" t="s">
        <v>375</v>
      </c>
      <c r="B184" s="1" t="s">
        <v>376</v>
      </c>
      <c r="C184" s="1">
        <v>2017</v>
      </c>
      <c r="D184">
        <v>2</v>
      </c>
      <c r="E184">
        <v>3</v>
      </c>
      <c r="F184">
        <f>IF(D184=E184,1,0)</f>
        <v>0</v>
      </c>
      <c r="G184">
        <v>2</v>
      </c>
      <c r="H184">
        <v>3</v>
      </c>
      <c r="I184">
        <v>2</v>
      </c>
      <c r="J184">
        <f t="shared" si="20"/>
        <v>0</v>
      </c>
      <c r="K184">
        <v>2</v>
      </c>
    </row>
    <row r="185" spans="1:11" ht="15.6" x14ac:dyDescent="0.3">
      <c r="A185" s="1" t="s">
        <v>377</v>
      </c>
      <c r="B185" s="1" t="s">
        <v>378</v>
      </c>
      <c r="C185" s="1">
        <v>2017</v>
      </c>
      <c r="D185">
        <v>2</v>
      </c>
      <c r="G185">
        <v>2</v>
      </c>
      <c r="K185">
        <v>2</v>
      </c>
    </row>
    <row r="186" spans="1:11" ht="15.6" x14ac:dyDescent="0.3">
      <c r="A186" s="1" t="s">
        <v>379</v>
      </c>
      <c r="B186" s="1" t="s">
        <v>380</v>
      </c>
      <c r="C186" s="1">
        <v>2017</v>
      </c>
      <c r="G186">
        <v>2</v>
      </c>
      <c r="K186">
        <v>2</v>
      </c>
    </row>
    <row r="187" spans="1:11" ht="15.6" x14ac:dyDescent="0.3">
      <c r="A187" s="1" t="s">
        <v>381</v>
      </c>
      <c r="B187" s="1" t="s">
        <v>382</v>
      </c>
      <c r="C187" s="1">
        <v>2017</v>
      </c>
      <c r="D187">
        <v>3</v>
      </c>
      <c r="G187">
        <v>4</v>
      </c>
      <c r="K187">
        <v>4</v>
      </c>
    </row>
    <row r="188" spans="1:11" ht="15.6" x14ac:dyDescent="0.3">
      <c r="A188" s="1" t="s">
        <v>383</v>
      </c>
      <c r="B188" s="1" t="s">
        <v>384</v>
      </c>
      <c r="C188" s="1">
        <v>2017</v>
      </c>
      <c r="D188">
        <v>3</v>
      </c>
      <c r="E188">
        <v>3</v>
      </c>
      <c r="F188">
        <f>IF(D188=E188,1,0)</f>
        <v>1</v>
      </c>
      <c r="G188">
        <v>4</v>
      </c>
      <c r="K188">
        <v>3</v>
      </c>
    </row>
    <row r="189" spans="1:11" ht="15.6" x14ac:dyDescent="0.3">
      <c r="A189" s="1" t="s">
        <v>385</v>
      </c>
      <c r="B189" s="1" t="s">
        <v>386</v>
      </c>
      <c r="C189" s="1">
        <v>2017</v>
      </c>
      <c r="D189">
        <v>3</v>
      </c>
      <c r="E189">
        <v>3</v>
      </c>
      <c r="F189">
        <f>IF(D189=E189,1,0)</f>
        <v>1</v>
      </c>
      <c r="G189">
        <v>3</v>
      </c>
      <c r="K189">
        <v>3</v>
      </c>
    </row>
    <row r="190" spans="1:11" ht="15.6" x14ac:dyDescent="0.3">
      <c r="A190" s="1" t="s">
        <v>387</v>
      </c>
      <c r="B190" s="1" t="s">
        <v>388</v>
      </c>
      <c r="C190" s="1">
        <v>2017</v>
      </c>
      <c r="G190">
        <v>3</v>
      </c>
      <c r="K190">
        <v>3</v>
      </c>
    </row>
    <row r="191" spans="1:11" ht="15.6" x14ac:dyDescent="0.3">
      <c r="A191" s="1" t="s">
        <v>389</v>
      </c>
      <c r="B191" s="1" t="s">
        <v>390</v>
      </c>
      <c r="C191" s="1">
        <v>2017</v>
      </c>
      <c r="D191">
        <v>2</v>
      </c>
      <c r="G191">
        <v>2</v>
      </c>
      <c r="K191">
        <v>2</v>
      </c>
    </row>
    <row r="192" spans="1:11" ht="15.6" x14ac:dyDescent="0.3">
      <c r="A192" s="1" t="s">
        <v>391</v>
      </c>
      <c r="B192" s="1" t="s">
        <v>392</v>
      </c>
      <c r="C192" s="1">
        <v>2017</v>
      </c>
      <c r="D192">
        <v>3</v>
      </c>
      <c r="G192">
        <v>3</v>
      </c>
      <c r="K192">
        <v>3</v>
      </c>
    </row>
    <row r="193" spans="1:11" ht="15.6" x14ac:dyDescent="0.3">
      <c r="A193" s="1" t="s">
        <v>393</v>
      </c>
      <c r="B193" s="1" t="s">
        <v>394</v>
      </c>
      <c r="C193" s="1">
        <v>2017</v>
      </c>
      <c r="D193">
        <v>3</v>
      </c>
      <c r="E193">
        <v>3</v>
      </c>
      <c r="F193">
        <f>IF(D193=E193,1,0)</f>
        <v>1</v>
      </c>
      <c r="G193">
        <v>3</v>
      </c>
      <c r="K193">
        <v>3</v>
      </c>
    </row>
    <row r="194" spans="1:11" ht="15.6" x14ac:dyDescent="0.3">
      <c r="A194" s="1" t="s">
        <v>395</v>
      </c>
      <c r="B194" s="1" t="s">
        <v>396</v>
      </c>
      <c r="C194" s="1">
        <v>2017</v>
      </c>
      <c r="D194">
        <v>3</v>
      </c>
      <c r="E194">
        <v>3</v>
      </c>
      <c r="F194">
        <f>IF(D194=E194,1,0)</f>
        <v>1</v>
      </c>
      <c r="G194">
        <v>4</v>
      </c>
      <c r="K194">
        <v>3</v>
      </c>
    </row>
    <row r="195" spans="1:11" ht="15.6" x14ac:dyDescent="0.3">
      <c r="A195" s="1" t="s">
        <v>397</v>
      </c>
      <c r="B195" s="1" t="s">
        <v>398</v>
      </c>
      <c r="C195" s="1">
        <v>2017</v>
      </c>
      <c r="E195">
        <v>3</v>
      </c>
      <c r="G195">
        <v>2</v>
      </c>
      <c r="K195">
        <v>2</v>
      </c>
    </row>
    <row r="196" spans="1:11" ht="15.6" x14ac:dyDescent="0.3">
      <c r="A196" s="1" t="s">
        <v>399</v>
      </c>
      <c r="B196" s="1" t="s">
        <v>400</v>
      </c>
      <c r="C196" s="1">
        <v>2017</v>
      </c>
      <c r="D196">
        <v>3</v>
      </c>
      <c r="E196">
        <v>4</v>
      </c>
      <c r="F196">
        <f>IF(D196=E196,1,0)</f>
        <v>0</v>
      </c>
      <c r="G196">
        <v>4</v>
      </c>
      <c r="H196">
        <v>4</v>
      </c>
      <c r="I196">
        <v>4</v>
      </c>
      <c r="J196">
        <f>IF(H196=I196, 1, 0)</f>
        <v>1</v>
      </c>
      <c r="K196">
        <v>4</v>
      </c>
    </row>
    <row r="197" spans="1:11" ht="15.6" x14ac:dyDescent="0.3">
      <c r="A197" s="1" t="s">
        <v>401</v>
      </c>
      <c r="B197" s="1" t="s">
        <v>402</v>
      </c>
      <c r="C197" s="1">
        <v>2017</v>
      </c>
      <c r="D197">
        <v>2</v>
      </c>
      <c r="G197">
        <v>2</v>
      </c>
      <c r="K197">
        <v>2</v>
      </c>
    </row>
    <row r="198" spans="1:11" ht="15.6" x14ac:dyDescent="0.3">
      <c r="A198" s="1" t="s">
        <v>403</v>
      </c>
      <c r="B198" s="1" t="s">
        <v>404</v>
      </c>
      <c r="C198" s="1">
        <v>2017</v>
      </c>
      <c r="D198">
        <v>3</v>
      </c>
      <c r="E198">
        <v>3</v>
      </c>
      <c r="F198">
        <f>IF(D198=E198,1,0)</f>
        <v>1</v>
      </c>
      <c r="G198">
        <v>4</v>
      </c>
      <c r="K198">
        <v>3</v>
      </c>
    </row>
    <row r="199" spans="1:11" ht="15.6" x14ac:dyDescent="0.3">
      <c r="A199" s="1" t="s">
        <v>405</v>
      </c>
      <c r="B199" s="1" t="s">
        <v>406</v>
      </c>
      <c r="C199" s="1">
        <v>2017</v>
      </c>
      <c r="D199">
        <v>3</v>
      </c>
      <c r="E199">
        <v>3</v>
      </c>
      <c r="F199">
        <f>IF(D199=E199,1,0)</f>
        <v>1</v>
      </c>
      <c r="G199">
        <v>3</v>
      </c>
      <c r="K199">
        <v>3</v>
      </c>
    </row>
    <row r="200" spans="1:11" ht="15.6" x14ac:dyDescent="0.3">
      <c r="A200" s="1" t="s">
        <v>407</v>
      </c>
      <c r="B200" s="1" t="s">
        <v>408</v>
      </c>
      <c r="C200" s="1">
        <v>2017</v>
      </c>
      <c r="D200">
        <v>3</v>
      </c>
      <c r="G200">
        <v>3</v>
      </c>
      <c r="K200">
        <v>3</v>
      </c>
    </row>
    <row r="201" spans="1:11" ht="15.6" x14ac:dyDescent="0.3">
      <c r="A201" s="1" t="s">
        <v>409</v>
      </c>
      <c r="B201" s="1" t="s">
        <v>410</v>
      </c>
      <c r="C201" s="1">
        <v>2017</v>
      </c>
      <c r="D201">
        <v>3</v>
      </c>
      <c r="E201">
        <v>4</v>
      </c>
      <c r="F201">
        <f>IF(D201=E201,1,0)</f>
        <v>0</v>
      </c>
      <c r="G201">
        <v>3</v>
      </c>
      <c r="H201">
        <v>4</v>
      </c>
      <c r="I201">
        <v>4</v>
      </c>
      <c r="J201">
        <f>IF(H201=I201, 1, 0)</f>
        <v>1</v>
      </c>
      <c r="K201">
        <v>4</v>
      </c>
    </row>
    <row r="202" spans="1:11" ht="15.6" x14ac:dyDescent="0.3">
      <c r="A202" s="1" t="s">
        <v>411</v>
      </c>
      <c r="B202" s="1" t="s">
        <v>412</v>
      </c>
      <c r="C202" s="1">
        <v>2017</v>
      </c>
      <c r="G202">
        <v>3</v>
      </c>
      <c r="K202">
        <v>3</v>
      </c>
    </row>
    <row r="203" spans="1:11" ht="15.6" x14ac:dyDescent="0.3">
      <c r="A203" s="1" t="s">
        <v>413</v>
      </c>
      <c r="B203" s="1" t="s">
        <v>414</v>
      </c>
      <c r="C203" s="1">
        <v>2017</v>
      </c>
      <c r="D203">
        <v>2</v>
      </c>
      <c r="G203">
        <v>2</v>
      </c>
      <c r="K203">
        <v>2</v>
      </c>
    </row>
    <row r="204" spans="1:11" ht="15.6" x14ac:dyDescent="0.3">
      <c r="A204" s="1" t="s">
        <v>415</v>
      </c>
      <c r="B204" s="1" t="s">
        <v>416</v>
      </c>
      <c r="C204" s="1">
        <v>2017</v>
      </c>
      <c r="D204">
        <v>3</v>
      </c>
      <c r="E204">
        <v>3</v>
      </c>
      <c r="F204">
        <f>IF(D204=E204,1,0)</f>
        <v>1</v>
      </c>
      <c r="G204">
        <v>2</v>
      </c>
      <c r="K204">
        <v>3</v>
      </c>
    </row>
    <row r="205" spans="1:11" ht="15.6" x14ac:dyDescent="0.3">
      <c r="A205" s="1" t="s">
        <v>417</v>
      </c>
      <c r="B205" s="1" t="s">
        <v>418</v>
      </c>
      <c r="C205" s="1">
        <v>2017</v>
      </c>
      <c r="D205">
        <v>3</v>
      </c>
      <c r="E205">
        <v>3</v>
      </c>
      <c r="F205">
        <f>IF(D205=E205,1,0)</f>
        <v>1</v>
      </c>
      <c r="G205">
        <v>3</v>
      </c>
      <c r="K205">
        <v>3</v>
      </c>
    </row>
    <row r="206" spans="1:11" ht="15.6" x14ac:dyDescent="0.3">
      <c r="A206" s="1" t="s">
        <v>419</v>
      </c>
      <c r="B206" s="1" t="s">
        <v>420</v>
      </c>
      <c r="C206" s="1">
        <v>2017</v>
      </c>
      <c r="D206">
        <v>3</v>
      </c>
      <c r="E206">
        <v>3</v>
      </c>
      <c r="F206">
        <f>IF(D206=E206,1,0)</f>
        <v>1</v>
      </c>
      <c r="G206">
        <v>3</v>
      </c>
      <c r="K206">
        <v>3</v>
      </c>
    </row>
    <row r="207" spans="1:11" ht="15.6" x14ac:dyDescent="0.3">
      <c r="A207" s="1" t="s">
        <v>421</v>
      </c>
      <c r="B207" s="1" t="s">
        <v>422</v>
      </c>
      <c r="C207" s="1">
        <v>2017</v>
      </c>
      <c r="G207">
        <v>3</v>
      </c>
      <c r="K207">
        <v>3</v>
      </c>
    </row>
    <row r="208" spans="1:11" ht="15.6" x14ac:dyDescent="0.3">
      <c r="A208" s="1" t="s">
        <v>423</v>
      </c>
      <c r="B208" s="1" t="s">
        <v>424</v>
      </c>
      <c r="C208" s="1">
        <v>2017</v>
      </c>
      <c r="D208">
        <v>3</v>
      </c>
      <c r="E208">
        <v>3</v>
      </c>
      <c r="F208">
        <f>IF(D208=E208,1,0)</f>
        <v>1</v>
      </c>
      <c r="G208">
        <v>3</v>
      </c>
      <c r="K208">
        <v>3</v>
      </c>
    </row>
    <row r="209" spans="1:11" ht="15.6" x14ac:dyDescent="0.3">
      <c r="A209" s="1" t="s">
        <v>425</v>
      </c>
      <c r="B209" s="1" t="s">
        <v>426</v>
      </c>
      <c r="C209" s="1">
        <v>2017</v>
      </c>
      <c r="D209">
        <v>2</v>
      </c>
      <c r="E209">
        <v>2</v>
      </c>
      <c r="F209">
        <f>IF(D209=E209,1,0)</f>
        <v>1</v>
      </c>
      <c r="G209">
        <v>2</v>
      </c>
      <c r="K209">
        <v>2</v>
      </c>
    </row>
    <row r="210" spans="1:11" ht="15.6" x14ac:dyDescent="0.3">
      <c r="A210" s="1" t="s">
        <v>427</v>
      </c>
      <c r="B210" s="1" t="s">
        <v>428</v>
      </c>
      <c r="C210" s="1">
        <v>2017</v>
      </c>
      <c r="G210">
        <v>3</v>
      </c>
      <c r="K210">
        <v>3</v>
      </c>
    </row>
    <row r="211" spans="1:11" ht="15.6" x14ac:dyDescent="0.3">
      <c r="A211" s="1" t="s">
        <v>429</v>
      </c>
      <c r="B211" s="1" t="s">
        <v>430</v>
      </c>
      <c r="C211" s="1">
        <v>2017</v>
      </c>
      <c r="D211">
        <v>4</v>
      </c>
      <c r="E211">
        <v>3</v>
      </c>
      <c r="F211">
        <f>IF(D211=E211,1,0)</f>
        <v>0</v>
      </c>
      <c r="G211">
        <v>4</v>
      </c>
      <c r="H211">
        <v>4</v>
      </c>
      <c r="I211">
        <v>3</v>
      </c>
      <c r="J211">
        <f t="shared" ref="J211" si="21">IF(H211=I211, 1, 0)</f>
        <v>0</v>
      </c>
    </row>
    <row r="212" spans="1:11" ht="15.6" x14ac:dyDescent="0.3">
      <c r="A212" s="1" t="s">
        <v>431</v>
      </c>
      <c r="B212" s="1" t="s">
        <v>432</v>
      </c>
      <c r="C212" s="1">
        <v>2017</v>
      </c>
      <c r="D212">
        <v>3</v>
      </c>
      <c r="E212">
        <v>3</v>
      </c>
      <c r="F212">
        <f>IF(D212=E212,1,0)</f>
        <v>1</v>
      </c>
      <c r="G212">
        <v>3</v>
      </c>
      <c r="K212">
        <v>3</v>
      </c>
    </row>
    <row r="213" spans="1:11" ht="15.6" x14ac:dyDescent="0.3">
      <c r="A213" s="1" t="s">
        <v>433</v>
      </c>
      <c r="B213" s="1" t="s">
        <v>434</v>
      </c>
      <c r="C213" s="1">
        <v>2017</v>
      </c>
      <c r="D213">
        <v>3</v>
      </c>
      <c r="E213">
        <v>3</v>
      </c>
      <c r="F213">
        <f>IF(D213=E213,1,0)</f>
        <v>1</v>
      </c>
      <c r="G213">
        <v>3</v>
      </c>
      <c r="K213">
        <v>3</v>
      </c>
    </row>
    <row r="214" spans="1:11" ht="15.6" x14ac:dyDescent="0.3">
      <c r="A214" s="1" t="s">
        <v>435</v>
      </c>
      <c r="B214" s="1" t="s">
        <v>436</v>
      </c>
      <c r="C214" s="1">
        <v>2017</v>
      </c>
      <c r="D214">
        <v>3</v>
      </c>
      <c r="E214">
        <v>3</v>
      </c>
      <c r="F214">
        <f>IF(D214=E214,1,0)</f>
        <v>1</v>
      </c>
      <c r="G214">
        <v>4</v>
      </c>
      <c r="K214">
        <v>3</v>
      </c>
    </row>
    <row r="215" spans="1:11" ht="15.6" x14ac:dyDescent="0.3">
      <c r="A215" s="1" t="s">
        <v>437</v>
      </c>
      <c r="B215" s="1" t="s">
        <v>438</v>
      </c>
      <c r="C215" s="1">
        <v>2017</v>
      </c>
      <c r="G215">
        <v>3</v>
      </c>
      <c r="K215">
        <v>3</v>
      </c>
    </row>
    <row r="216" spans="1:11" ht="15.6" x14ac:dyDescent="0.3">
      <c r="A216" s="1" t="s">
        <v>439</v>
      </c>
      <c r="B216" s="1" t="s">
        <v>440</v>
      </c>
      <c r="C216" s="1">
        <v>2017</v>
      </c>
      <c r="D216">
        <v>3</v>
      </c>
      <c r="E216">
        <v>3</v>
      </c>
      <c r="F216">
        <f>IF(D216=E216,1,0)</f>
        <v>1</v>
      </c>
      <c r="G216">
        <v>2</v>
      </c>
      <c r="K216">
        <v>3</v>
      </c>
    </row>
    <row r="217" spans="1:11" ht="15.6" x14ac:dyDescent="0.3">
      <c r="A217" s="1" t="s">
        <v>441</v>
      </c>
      <c r="B217" s="1" t="s">
        <v>442</v>
      </c>
      <c r="C217" s="1">
        <v>2017</v>
      </c>
      <c r="E217">
        <v>2</v>
      </c>
      <c r="G217">
        <v>2</v>
      </c>
      <c r="K217">
        <v>2</v>
      </c>
    </row>
    <row r="218" spans="1:11" ht="15.6" x14ac:dyDescent="0.3">
      <c r="A218" s="1" t="s">
        <v>443</v>
      </c>
      <c r="B218" s="1" t="s">
        <v>444</v>
      </c>
      <c r="C218" s="1">
        <v>2017</v>
      </c>
      <c r="E218">
        <v>3</v>
      </c>
      <c r="G218">
        <v>2</v>
      </c>
      <c r="K218">
        <v>2</v>
      </c>
    </row>
    <row r="219" spans="1:11" ht="15.6" x14ac:dyDescent="0.3">
      <c r="A219" s="1" t="s">
        <v>445</v>
      </c>
      <c r="B219" s="1" t="s">
        <v>446</v>
      </c>
      <c r="C219" s="1">
        <v>2017</v>
      </c>
      <c r="D219">
        <v>3</v>
      </c>
      <c r="E219">
        <v>3</v>
      </c>
      <c r="F219">
        <f>IF(D219=E219,1,0)</f>
        <v>1</v>
      </c>
      <c r="G219">
        <v>4</v>
      </c>
      <c r="K219">
        <v>3</v>
      </c>
    </row>
    <row r="220" spans="1:11" ht="15.6" x14ac:dyDescent="0.3">
      <c r="A220" s="1" t="s">
        <v>447</v>
      </c>
      <c r="B220" s="1" t="s">
        <v>448</v>
      </c>
      <c r="C220" s="1">
        <v>2017</v>
      </c>
      <c r="G220">
        <v>4</v>
      </c>
      <c r="K220">
        <v>4</v>
      </c>
    </row>
    <row r="221" spans="1:11" ht="15.6" x14ac:dyDescent="0.3">
      <c r="A221" s="1" t="s">
        <v>449</v>
      </c>
      <c r="B221" s="1" t="s">
        <v>450</v>
      </c>
      <c r="C221" s="1">
        <v>2017</v>
      </c>
      <c r="D221">
        <v>3</v>
      </c>
      <c r="G221">
        <v>3</v>
      </c>
      <c r="K221">
        <v>3</v>
      </c>
    </row>
    <row r="222" spans="1:11" ht="15.6" x14ac:dyDescent="0.3">
      <c r="A222" s="1" t="s">
        <v>451</v>
      </c>
      <c r="B222" s="1" t="s">
        <v>452</v>
      </c>
      <c r="C222" s="1">
        <v>2017</v>
      </c>
      <c r="D222">
        <v>2</v>
      </c>
      <c r="E222">
        <v>2</v>
      </c>
      <c r="F222">
        <f>IF(D222=E222,1,0)</f>
        <v>1</v>
      </c>
      <c r="G222">
        <v>2</v>
      </c>
      <c r="K222">
        <v>2</v>
      </c>
    </row>
    <row r="223" spans="1:11" ht="15.6" x14ac:dyDescent="0.3">
      <c r="A223" s="1" t="s">
        <v>453</v>
      </c>
      <c r="B223" s="1" t="s">
        <v>454</v>
      </c>
      <c r="C223" s="1">
        <v>2017</v>
      </c>
      <c r="D223">
        <v>2</v>
      </c>
      <c r="E223">
        <v>2</v>
      </c>
      <c r="F223">
        <f>IF(D223=E223,1,0)</f>
        <v>1</v>
      </c>
      <c r="G223">
        <v>2</v>
      </c>
      <c r="K223">
        <v>2</v>
      </c>
    </row>
    <row r="224" spans="1:11" ht="15.6" x14ac:dyDescent="0.3">
      <c r="A224" s="1" t="s">
        <v>455</v>
      </c>
      <c r="B224" s="1" t="s">
        <v>456</v>
      </c>
      <c r="C224" s="1">
        <v>2017</v>
      </c>
      <c r="D224">
        <v>3</v>
      </c>
      <c r="E224">
        <v>3</v>
      </c>
      <c r="F224">
        <f>IF(D224=E224,1,0)</f>
        <v>1</v>
      </c>
      <c r="G224">
        <v>4</v>
      </c>
      <c r="K224">
        <v>3</v>
      </c>
    </row>
    <row r="225" spans="1:11" ht="15.6" x14ac:dyDescent="0.3">
      <c r="A225" s="1" t="s">
        <v>457</v>
      </c>
      <c r="B225" s="1" t="s">
        <v>458</v>
      </c>
      <c r="C225" s="1">
        <v>2017</v>
      </c>
      <c r="D225">
        <v>4</v>
      </c>
      <c r="E225">
        <v>4</v>
      </c>
      <c r="F225">
        <f>IF(D225=E225,1,0)</f>
        <v>1</v>
      </c>
      <c r="G225">
        <v>4</v>
      </c>
      <c r="K22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Malte Willmes</cp:lastModifiedBy>
  <cp:revision/>
  <dcterms:created xsi:type="dcterms:W3CDTF">2022-11-06T22:00:41Z</dcterms:created>
  <dcterms:modified xsi:type="dcterms:W3CDTF">2025-02-03T13:52:41Z</dcterms:modified>
  <cp:category/>
  <cp:contentStatus/>
</cp:coreProperties>
</file>